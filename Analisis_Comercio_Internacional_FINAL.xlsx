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atal\Downloads\"/>
    </mc:Choice>
  </mc:AlternateContent>
  <xr:revisionPtr revIDLastSave="0" documentId="13_ncr:1_{B3895981-119B-4082-8337-795E48EEB108}" xr6:coauthVersionLast="47" xr6:coauthVersionMax="47" xr10:uidLastSave="{00000000-0000-0000-0000-000000000000}"/>
  <bookViews>
    <workbookView xWindow="-110" yWindow="-110" windowWidth="19420" windowHeight="10300" tabRatio="500" firstSheet="3" activeTab="5" xr2:uid="{00000000-000D-0000-FFFF-FFFF00000000}"/>
  </bookViews>
  <sheets>
    <sheet name="1. Operaciones" sheetId="1" r:id="rId1"/>
    <sheet name="2. Productos" sheetId="2" r:id="rId2"/>
    <sheet name="3. Mercados" sheetId="3" r:id="rId3"/>
    <sheet name=" Respuestas" sheetId="5" r:id="rId4"/>
    <sheet name=" Tablas y Gráficos" sheetId="4" r:id="rId5"/>
    <sheet name=" Interpretacion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4" l="1"/>
  <c r="C2" i="5"/>
  <c r="C3" i="5"/>
  <c r="O101" i="1"/>
  <c r="N101" i="1"/>
  <c r="J101" i="1"/>
  <c r="I101" i="1"/>
  <c r="H101" i="1"/>
  <c r="F101" i="1"/>
  <c r="E101" i="1"/>
  <c r="R100" i="1"/>
  <c r="P100" i="1"/>
  <c r="Q100" i="1" s="1"/>
  <c r="O100" i="1"/>
  <c r="N100" i="1"/>
  <c r="S100" i="1" s="1"/>
  <c r="J100" i="1"/>
  <c r="T100" i="1" s="1"/>
  <c r="I100" i="1"/>
  <c r="H100" i="1"/>
  <c r="F100" i="1"/>
  <c r="E100" i="1"/>
  <c r="O99" i="1"/>
  <c r="N99" i="1"/>
  <c r="J99" i="1"/>
  <c r="I99" i="1"/>
  <c r="H99" i="1"/>
  <c r="F99" i="1"/>
  <c r="E99" i="1"/>
  <c r="S98" i="1"/>
  <c r="R98" i="1"/>
  <c r="P98" i="1"/>
  <c r="Q98" i="1" s="1"/>
  <c r="O98" i="1"/>
  <c r="N98" i="1"/>
  <c r="J98" i="1"/>
  <c r="T98" i="1" s="1"/>
  <c r="I98" i="1"/>
  <c r="H98" i="1"/>
  <c r="F98" i="1"/>
  <c r="E98" i="1"/>
  <c r="O97" i="1"/>
  <c r="N97" i="1"/>
  <c r="J97" i="1"/>
  <c r="I97" i="1"/>
  <c r="H97" i="1"/>
  <c r="F97" i="1"/>
  <c r="E97" i="1"/>
  <c r="S96" i="1"/>
  <c r="P96" i="1"/>
  <c r="Q96" i="1" s="1"/>
  <c r="R96" i="1" s="1"/>
  <c r="O96" i="1"/>
  <c r="N96" i="1"/>
  <c r="J96" i="1"/>
  <c r="I96" i="1"/>
  <c r="H96" i="1"/>
  <c r="F96" i="1"/>
  <c r="E96" i="1"/>
  <c r="O95" i="1"/>
  <c r="N95" i="1"/>
  <c r="J95" i="1"/>
  <c r="I95" i="1"/>
  <c r="H95" i="1"/>
  <c r="F95" i="1"/>
  <c r="E95" i="1"/>
  <c r="S94" i="1"/>
  <c r="R94" i="1"/>
  <c r="Q94" i="1"/>
  <c r="P94" i="1"/>
  <c r="O94" i="1"/>
  <c r="N94" i="1"/>
  <c r="J94" i="1"/>
  <c r="T94" i="1" s="1"/>
  <c r="I94" i="1"/>
  <c r="H94" i="1"/>
  <c r="F94" i="1"/>
  <c r="E94" i="1"/>
  <c r="O93" i="1"/>
  <c r="N93" i="1"/>
  <c r="J93" i="1"/>
  <c r="I93" i="1"/>
  <c r="H93" i="1"/>
  <c r="F93" i="1"/>
  <c r="E93" i="1"/>
  <c r="S92" i="1"/>
  <c r="R92" i="1"/>
  <c r="Q92" i="1"/>
  <c r="P92" i="1"/>
  <c r="O92" i="1"/>
  <c r="N92" i="1"/>
  <c r="J92" i="1"/>
  <c r="T92" i="1" s="1"/>
  <c r="I92" i="1"/>
  <c r="H92" i="1"/>
  <c r="F92" i="1"/>
  <c r="E92" i="1"/>
  <c r="O91" i="1"/>
  <c r="N91" i="1"/>
  <c r="J91" i="1"/>
  <c r="I91" i="1"/>
  <c r="H91" i="1"/>
  <c r="F91" i="1"/>
  <c r="E91" i="1"/>
  <c r="S90" i="1"/>
  <c r="R90" i="1"/>
  <c r="Q90" i="1"/>
  <c r="P90" i="1"/>
  <c r="O90" i="1"/>
  <c r="N90" i="1"/>
  <c r="J90" i="1"/>
  <c r="T90" i="1" s="1"/>
  <c r="I90" i="1"/>
  <c r="H90" i="1"/>
  <c r="F90" i="1"/>
  <c r="E90" i="1"/>
  <c r="O89" i="1"/>
  <c r="N89" i="1"/>
  <c r="J89" i="1"/>
  <c r="I89" i="1"/>
  <c r="H89" i="1"/>
  <c r="F89" i="1"/>
  <c r="E89" i="1"/>
  <c r="S88" i="1"/>
  <c r="R88" i="1"/>
  <c r="Q88" i="1"/>
  <c r="P88" i="1"/>
  <c r="O88" i="1"/>
  <c r="N88" i="1"/>
  <c r="J88" i="1"/>
  <c r="T88" i="1" s="1"/>
  <c r="I88" i="1"/>
  <c r="H88" i="1"/>
  <c r="F88" i="1"/>
  <c r="E88" i="1"/>
  <c r="O87" i="1"/>
  <c r="N87" i="1"/>
  <c r="J87" i="1"/>
  <c r="I87" i="1"/>
  <c r="H87" i="1"/>
  <c r="F87" i="1"/>
  <c r="E87" i="1"/>
  <c r="S86" i="1"/>
  <c r="R86" i="1"/>
  <c r="Q86" i="1"/>
  <c r="P86" i="1"/>
  <c r="O86" i="1"/>
  <c r="N86" i="1"/>
  <c r="J86" i="1"/>
  <c r="T86" i="1" s="1"/>
  <c r="I86" i="1"/>
  <c r="H86" i="1"/>
  <c r="F86" i="1"/>
  <c r="E86" i="1"/>
  <c r="O85" i="1"/>
  <c r="N85" i="1"/>
  <c r="J85" i="1"/>
  <c r="I85" i="1"/>
  <c r="H85" i="1"/>
  <c r="F85" i="1"/>
  <c r="E85" i="1"/>
  <c r="S84" i="1"/>
  <c r="R84" i="1"/>
  <c r="Q84" i="1"/>
  <c r="P84" i="1"/>
  <c r="O84" i="1"/>
  <c r="N84" i="1"/>
  <c r="J84" i="1"/>
  <c r="T84" i="1" s="1"/>
  <c r="I84" i="1"/>
  <c r="H84" i="1"/>
  <c r="F84" i="1"/>
  <c r="E84" i="1"/>
  <c r="O83" i="1"/>
  <c r="N83" i="1"/>
  <c r="J83" i="1"/>
  <c r="I83" i="1"/>
  <c r="H83" i="1"/>
  <c r="F83" i="1"/>
  <c r="E83" i="1"/>
  <c r="S82" i="1"/>
  <c r="R82" i="1"/>
  <c r="Q82" i="1"/>
  <c r="P82" i="1"/>
  <c r="O82" i="1"/>
  <c r="N82" i="1"/>
  <c r="J82" i="1"/>
  <c r="T82" i="1" s="1"/>
  <c r="I82" i="1"/>
  <c r="H82" i="1"/>
  <c r="F82" i="1"/>
  <c r="E82" i="1"/>
  <c r="O81" i="1"/>
  <c r="N81" i="1"/>
  <c r="J81" i="1"/>
  <c r="I81" i="1"/>
  <c r="H81" i="1"/>
  <c r="F81" i="1"/>
  <c r="E81" i="1"/>
  <c r="S80" i="1"/>
  <c r="R80" i="1"/>
  <c r="O80" i="1"/>
  <c r="N80" i="1"/>
  <c r="P80" i="1" s="1"/>
  <c r="Q80" i="1" s="1"/>
  <c r="J80" i="1"/>
  <c r="T80" i="1" s="1"/>
  <c r="I80" i="1"/>
  <c r="H80" i="1"/>
  <c r="F80" i="1"/>
  <c r="E80" i="1"/>
  <c r="O79" i="1"/>
  <c r="N79" i="1"/>
  <c r="J79" i="1"/>
  <c r="I79" i="1"/>
  <c r="H79" i="1"/>
  <c r="F79" i="1"/>
  <c r="E79" i="1"/>
  <c r="S78" i="1"/>
  <c r="R78" i="1"/>
  <c r="O78" i="1"/>
  <c r="N78" i="1"/>
  <c r="P78" i="1" s="1"/>
  <c r="Q78" i="1" s="1"/>
  <c r="J78" i="1"/>
  <c r="T78" i="1" s="1"/>
  <c r="I78" i="1"/>
  <c r="H78" i="1"/>
  <c r="F78" i="1"/>
  <c r="E78" i="1"/>
  <c r="O77" i="1"/>
  <c r="N77" i="1"/>
  <c r="J77" i="1"/>
  <c r="I77" i="1"/>
  <c r="H77" i="1"/>
  <c r="F77" i="1"/>
  <c r="E77" i="1"/>
  <c r="S76" i="1"/>
  <c r="R76" i="1"/>
  <c r="O76" i="1"/>
  <c r="N76" i="1"/>
  <c r="P76" i="1" s="1"/>
  <c r="Q76" i="1" s="1"/>
  <c r="J76" i="1"/>
  <c r="T76" i="1" s="1"/>
  <c r="I76" i="1"/>
  <c r="H76" i="1"/>
  <c r="F76" i="1"/>
  <c r="E76" i="1"/>
  <c r="O75" i="1"/>
  <c r="N75" i="1"/>
  <c r="J75" i="1"/>
  <c r="I75" i="1"/>
  <c r="H75" i="1"/>
  <c r="F75" i="1"/>
  <c r="E75" i="1"/>
  <c r="S74" i="1"/>
  <c r="R74" i="1"/>
  <c r="O74" i="1"/>
  <c r="N74" i="1"/>
  <c r="P74" i="1" s="1"/>
  <c r="Q74" i="1" s="1"/>
  <c r="J74" i="1"/>
  <c r="T74" i="1" s="1"/>
  <c r="I74" i="1"/>
  <c r="H74" i="1"/>
  <c r="F74" i="1"/>
  <c r="E74" i="1"/>
  <c r="O73" i="1"/>
  <c r="N73" i="1"/>
  <c r="J73" i="1"/>
  <c r="I73" i="1"/>
  <c r="H73" i="1"/>
  <c r="F73" i="1"/>
  <c r="E73" i="1"/>
  <c r="S72" i="1"/>
  <c r="R72" i="1"/>
  <c r="O72" i="1"/>
  <c r="N72" i="1"/>
  <c r="P72" i="1" s="1"/>
  <c r="Q72" i="1" s="1"/>
  <c r="J72" i="1"/>
  <c r="T72" i="1" s="1"/>
  <c r="I72" i="1"/>
  <c r="H72" i="1"/>
  <c r="F72" i="1"/>
  <c r="E72" i="1"/>
  <c r="O71" i="1"/>
  <c r="N71" i="1"/>
  <c r="J71" i="1"/>
  <c r="I71" i="1"/>
  <c r="H71" i="1"/>
  <c r="F71" i="1"/>
  <c r="E71" i="1"/>
  <c r="S70" i="1"/>
  <c r="R70" i="1"/>
  <c r="O70" i="1"/>
  <c r="N70" i="1"/>
  <c r="P70" i="1" s="1"/>
  <c r="Q70" i="1" s="1"/>
  <c r="J70" i="1"/>
  <c r="T70" i="1" s="1"/>
  <c r="I70" i="1"/>
  <c r="H70" i="1"/>
  <c r="F70" i="1"/>
  <c r="E70" i="1"/>
  <c r="O69" i="1"/>
  <c r="N69" i="1"/>
  <c r="J69" i="1"/>
  <c r="I69" i="1"/>
  <c r="H69" i="1"/>
  <c r="F69" i="1"/>
  <c r="E69" i="1"/>
  <c r="S68" i="1"/>
  <c r="O68" i="1"/>
  <c r="N68" i="1"/>
  <c r="P68" i="1" s="1"/>
  <c r="Q68" i="1" s="1"/>
  <c r="R68" i="1" s="1"/>
  <c r="J68" i="1"/>
  <c r="I68" i="1"/>
  <c r="H68" i="1"/>
  <c r="F68" i="1"/>
  <c r="E68" i="1"/>
  <c r="O67" i="1"/>
  <c r="N67" i="1"/>
  <c r="J67" i="1"/>
  <c r="I67" i="1"/>
  <c r="H67" i="1"/>
  <c r="F67" i="1"/>
  <c r="E67" i="1"/>
  <c r="S66" i="1"/>
  <c r="O66" i="1"/>
  <c r="N66" i="1"/>
  <c r="P66" i="1" s="1"/>
  <c r="Q66" i="1" s="1"/>
  <c r="R66" i="1" s="1"/>
  <c r="J66" i="1"/>
  <c r="I66" i="1"/>
  <c r="H66" i="1"/>
  <c r="F66" i="1"/>
  <c r="E66" i="1"/>
  <c r="O65" i="1"/>
  <c r="N65" i="1"/>
  <c r="J65" i="1"/>
  <c r="I65" i="1"/>
  <c r="H65" i="1"/>
  <c r="F65" i="1"/>
  <c r="E65" i="1"/>
  <c r="S64" i="1"/>
  <c r="Q64" i="1"/>
  <c r="R64" i="1" s="1"/>
  <c r="O64" i="1"/>
  <c r="N64" i="1"/>
  <c r="P64" i="1" s="1"/>
  <c r="J64" i="1"/>
  <c r="I64" i="1"/>
  <c r="H64" i="1"/>
  <c r="F64" i="1"/>
  <c r="E64" i="1"/>
  <c r="O63" i="1"/>
  <c r="N63" i="1"/>
  <c r="J63" i="1"/>
  <c r="I63" i="1"/>
  <c r="H63" i="1"/>
  <c r="F63" i="1"/>
  <c r="E63" i="1"/>
  <c r="S62" i="1"/>
  <c r="O62" i="1"/>
  <c r="N62" i="1"/>
  <c r="P62" i="1" s="1"/>
  <c r="Q62" i="1" s="1"/>
  <c r="R62" i="1" s="1"/>
  <c r="J62" i="1"/>
  <c r="I62" i="1"/>
  <c r="H62" i="1"/>
  <c r="F62" i="1"/>
  <c r="E62" i="1"/>
  <c r="O61" i="1"/>
  <c r="N61" i="1"/>
  <c r="J61" i="1"/>
  <c r="I61" i="1"/>
  <c r="H61" i="1"/>
  <c r="F61" i="1"/>
  <c r="E61" i="1"/>
  <c r="S60" i="1"/>
  <c r="O60" i="1"/>
  <c r="N60" i="1"/>
  <c r="P60" i="1" s="1"/>
  <c r="Q60" i="1" s="1"/>
  <c r="R60" i="1" s="1"/>
  <c r="J60" i="1"/>
  <c r="I60" i="1"/>
  <c r="H60" i="1"/>
  <c r="F60" i="1"/>
  <c r="E60" i="1"/>
  <c r="O59" i="1"/>
  <c r="N59" i="1"/>
  <c r="J59" i="1"/>
  <c r="I59" i="1"/>
  <c r="H59" i="1"/>
  <c r="F59" i="1"/>
  <c r="E59" i="1"/>
  <c r="S58" i="1"/>
  <c r="O58" i="1"/>
  <c r="N58" i="1"/>
  <c r="P58" i="1" s="1"/>
  <c r="Q58" i="1" s="1"/>
  <c r="R58" i="1" s="1"/>
  <c r="J58" i="1"/>
  <c r="I58" i="1"/>
  <c r="H58" i="1"/>
  <c r="F58" i="1"/>
  <c r="E58" i="1"/>
  <c r="O57" i="1"/>
  <c r="N57" i="1"/>
  <c r="J57" i="1"/>
  <c r="I57" i="1"/>
  <c r="H57" i="1"/>
  <c r="F57" i="1"/>
  <c r="E57" i="1"/>
  <c r="S56" i="1"/>
  <c r="Q56" i="1"/>
  <c r="R56" i="1" s="1"/>
  <c r="O56" i="1"/>
  <c r="N56" i="1"/>
  <c r="P56" i="1" s="1"/>
  <c r="J56" i="1"/>
  <c r="I56" i="1"/>
  <c r="H56" i="1"/>
  <c r="F56" i="1"/>
  <c r="E56" i="1"/>
  <c r="O55" i="1"/>
  <c r="N55" i="1"/>
  <c r="J55" i="1"/>
  <c r="I55" i="1"/>
  <c r="H55" i="1"/>
  <c r="F55" i="1"/>
  <c r="E55" i="1"/>
  <c r="S54" i="1"/>
  <c r="O54" i="1"/>
  <c r="N54" i="1"/>
  <c r="P54" i="1" s="1"/>
  <c r="Q54" i="1" s="1"/>
  <c r="R54" i="1" s="1"/>
  <c r="J54" i="1"/>
  <c r="I54" i="1"/>
  <c r="H54" i="1"/>
  <c r="F54" i="1"/>
  <c r="E54" i="1"/>
  <c r="O53" i="1"/>
  <c r="N53" i="1"/>
  <c r="J53" i="1"/>
  <c r="I53" i="1"/>
  <c r="H53" i="1"/>
  <c r="F53" i="1"/>
  <c r="E53" i="1"/>
  <c r="S52" i="1"/>
  <c r="O52" i="1"/>
  <c r="N52" i="1"/>
  <c r="P52" i="1" s="1"/>
  <c r="Q52" i="1" s="1"/>
  <c r="R52" i="1" s="1"/>
  <c r="J52" i="1"/>
  <c r="I52" i="1"/>
  <c r="H52" i="1"/>
  <c r="F52" i="1"/>
  <c r="E52" i="1"/>
  <c r="O51" i="1"/>
  <c r="N51" i="1"/>
  <c r="J51" i="1"/>
  <c r="I51" i="1"/>
  <c r="H51" i="1"/>
  <c r="F51" i="1"/>
  <c r="E51" i="1"/>
  <c r="S50" i="1"/>
  <c r="O50" i="1"/>
  <c r="N50" i="1"/>
  <c r="P50" i="1" s="1"/>
  <c r="Q50" i="1" s="1"/>
  <c r="R50" i="1" s="1"/>
  <c r="J50" i="1"/>
  <c r="I50" i="1"/>
  <c r="H50" i="1"/>
  <c r="F50" i="1"/>
  <c r="E50" i="1"/>
  <c r="O49" i="1"/>
  <c r="N49" i="1"/>
  <c r="J49" i="1"/>
  <c r="I49" i="1"/>
  <c r="H49" i="1"/>
  <c r="F49" i="1"/>
  <c r="E49" i="1"/>
  <c r="S48" i="1"/>
  <c r="Q48" i="1"/>
  <c r="R48" i="1" s="1"/>
  <c r="O48" i="1"/>
  <c r="N48" i="1"/>
  <c r="P48" i="1" s="1"/>
  <c r="J48" i="1"/>
  <c r="I48" i="1"/>
  <c r="H48" i="1"/>
  <c r="F48" i="1"/>
  <c r="E48" i="1"/>
  <c r="O47" i="1"/>
  <c r="N47" i="1"/>
  <c r="J47" i="1"/>
  <c r="I47" i="1"/>
  <c r="H47" i="1"/>
  <c r="F47" i="1"/>
  <c r="E47" i="1"/>
  <c r="S46" i="1"/>
  <c r="O46" i="1"/>
  <c r="N46" i="1"/>
  <c r="J46" i="1"/>
  <c r="I46" i="1"/>
  <c r="H46" i="1"/>
  <c r="F46" i="1"/>
  <c r="E46" i="1"/>
  <c r="S45" i="1"/>
  <c r="O45" i="1"/>
  <c r="N45" i="1"/>
  <c r="J45" i="1"/>
  <c r="I45" i="1"/>
  <c r="H45" i="1"/>
  <c r="F45" i="1"/>
  <c r="E45" i="1"/>
  <c r="O44" i="1"/>
  <c r="N44" i="1"/>
  <c r="S44" i="1" s="1"/>
  <c r="J44" i="1"/>
  <c r="I44" i="1"/>
  <c r="H44" i="1"/>
  <c r="F44" i="1"/>
  <c r="E44" i="1"/>
  <c r="O43" i="1"/>
  <c r="N43" i="1"/>
  <c r="S43" i="1" s="1"/>
  <c r="J43" i="1"/>
  <c r="I43" i="1"/>
  <c r="H43" i="1"/>
  <c r="F43" i="1"/>
  <c r="E43" i="1"/>
  <c r="S42" i="1"/>
  <c r="O42" i="1"/>
  <c r="N42" i="1"/>
  <c r="J42" i="1"/>
  <c r="I42" i="1"/>
  <c r="H42" i="1"/>
  <c r="F42" i="1"/>
  <c r="E42" i="1"/>
  <c r="S41" i="1"/>
  <c r="O41" i="1"/>
  <c r="N41" i="1"/>
  <c r="J41" i="1"/>
  <c r="I41" i="1"/>
  <c r="H41" i="1"/>
  <c r="F41" i="1"/>
  <c r="E41" i="1"/>
  <c r="P40" i="1"/>
  <c r="Q40" i="1" s="1"/>
  <c r="R40" i="1" s="1"/>
  <c r="O40" i="1"/>
  <c r="N40" i="1"/>
  <c r="S40" i="1" s="1"/>
  <c r="J40" i="1"/>
  <c r="I40" i="1"/>
  <c r="H40" i="1"/>
  <c r="F40" i="1"/>
  <c r="E40" i="1"/>
  <c r="S39" i="1"/>
  <c r="O39" i="1"/>
  <c r="N39" i="1"/>
  <c r="J39" i="1"/>
  <c r="I39" i="1"/>
  <c r="H39" i="1"/>
  <c r="F39" i="1"/>
  <c r="E39" i="1"/>
  <c r="P38" i="1"/>
  <c r="Q38" i="1" s="1"/>
  <c r="R38" i="1" s="1"/>
  <c r="O38" i="1"/>
  <c r="N38" i="1"/>
  <c r="S38" i="1" s="1"/>
  <c r="J38" i="1"/>
  <c r="I38" i="1"/>
  <c r="H38" i="1"/>
  <c r="F38" i="1"/>
  <c r="E38" i="1"/>
  <c r="O37" i="1"/>
  <c r="N37" i="1"/>
  <c r="S37" i="1" s="1"/>
  <c r="J37" i="1"/>
  <c r="I37" i="1"/>
  <c r="H37" i="1"/>
  <c r="F37" i="1"/>
  <c r="E37" i="1"/>
  <c r="O36" i="1"/>
  <c r="N36" i="1"/>
  <c r="S36" i="1" s="1"/>
  <c r="J36" i="1"/>
  <c r="I36" i="1"/>
  <c r="H36" i="1"/>
  <c r="F36" i="1"/>
  <c r="E36" i="1"/>
  <c r="O35" i="1"/>
  <c r="N35" i="1"/>
  <c r="P35" i="1" s="1"/>
  <c r="Q35" i="1" s="1"/>
  <c r="J35" i="1"/>
  <c r="I35" i="1"/>
  <c r="H35" i="1"/>
  <c r="F35" i="1"/>
  <c r="E35" i="1"/>
  <c r="O34" i="1"/>
  <c r="N34" i="1"/>
  <c r="P34" i="1" s="1"/>
  <c r="Q34" i="1" s="1"/>
  <c r="R34" i="1" s="1"/>
  <c r="J34" i="1"/>
  <c r="I34" i="1"/>
  <c r="H34" i="1"/>
  <c r="F34" i="1"/>
  <c r="E34" i="1"/>
  <c r="S33" i="1"/>
  <c r="O33" i="1"/>
  <c r="N33" i="1"/>
  <c r="J33" i="1"/>
  <c r="I33" i="1"/>
  <c r="H33" i="1"/>
  <c r="F33" i="1"/>
  <c r="E33" i="1"/>
  <c r="O32" i="1"/>
  <c r="P32" i="1" s="1"/>
  <c r="Q32" i="1" s="1"/>
  <c r="R32" i="1" s="1"/>
  <c r="N32" i="1"/>
  <c r="S32" i="1" s="1"/>
  <c r="J32" i="1"/>
  <c r="I32" i="1"/>
  <c r="H32" i="1"/>
  <c r="F32" i="1"/>
  <c r="E32" i="1"/>
  <c r="S31" i="1"/>
  <c r="O31" i="1"/>
  <c r="N31" i="1"/>
  <c r="J31" i="1"/>
  <c r="I31" i="1"/>
  <c r="H31" i="1"/>
  <c r="F31" i="1"/>
  <c r="E31" i="1"/>
  <c r="P30" i="1"/>
  <c r="Q30" i="1" s="1"/>
  <c r="R30" i="1" s="1"/>
  <c r="O30" i="1"/>
  <c r="N30" i="1"/>
  <c r="S30" i="1" s="1"/>
  <c r="J30" i="1"/>
  <c r="I30" i="1"/>
  <c r="H30" i="1"/>
  <c r="F30" i="1"/>
  <c r="E30" i="1"/>
  <c r="O29" i="1"/>
  <c r="N29" i="1"/>
  <c r="S29" i="1" s="1"/>
  <c r="J29" i="1"/>
  <c r="I29" i="1"/>
  <c r="H29" i="1"/>
  <c r="F29" i="1"/>
  <c r="E29" i="1"/>
  <c r="O28" i="1"/>
  <c r="N28" i="1"/>
  <c r="S28" i="1" s="1"/>
  <c r="J28" i="1"/>
  <c r="I28" i="1"/>
  <c r="H28" i="1"/>
  <c r="F28" i="1"/>
  <c r="E28" i="1"/>
  <c r="O27" i="1"/>
  <c r="N27" i="1"/>
  <c r="P27" i="1" s="1"/>
  <c r="Q27" i="1" s="1"/>
  <c r="J27" i="1"/>
  <c r="I27" i="1"/>
  <c r="H27" i="1"/>
  <c r="F27" i="1"/>
  <c r="E27" i="1"/>
  <c r="O26" i="1"/>
  <c r="N26" i="1"/>
  <c r="P26" i="1" s="1"/>
  <c r="Q26" i="1" s="1"/>
  <c r="R26" i="1" s="1"/>
  <c r="J26" i="1"/>
  <c r="I26" i="1"/>
  <c r="H26" i="1"/>
  <c r="F26" i="1"/>
  <c r="E26" i="1"/>
  <c r="S25" i="1"/>
  <c r="O25" i="1"/>
  <c r="N25" i="1"/>
  <c r="J25" i="1"/>
  <c r="I25" i="1"/>
  <c r="H25" i="1"/>
  <c r="F25" i="1"/>
  <c r="E25" i="1"/>
  <c r="O24" i="1"/>
  <c r="P24" i="1" s="1"/>
  <c r="Q24" i="1" s="1"/>
  <c r="R24" i="1" s="1"/>
  <c r="N24" i="1"/>
  <c r="S24" i="1" s="1"/>
  <c r="J24" i="1"/>
  <c r="I24" i="1"/>
  <c r="H24" i="1"/>
  <c r="F24" i="1"/>
  <c r="E24" i="1"/>
  <c r="S23" i="1"/>
  <c r="O23" i="1"/>
  <c r="N23" i="1"/>
  <c r="J23" i="1"/>
  <c r="I23" i="1"/>
  <c r="H23" i="1"/>
  <c r="F23" i="1"/>
  <c r="E23" i="1"/>
  <c r="P22" i="1"/>
  <c r="Q22" i="1" s="1"/>
  <c r="R22" i="1" s="1"/>
  <c r="O22" i="1"/>
  <c r="N22" i="1"/>
  <c r="S22" i="1" s="1"/>
  <c r="J22" i="1"/>
  <c r="I22" i="1"/>
  <c r="H22" i="1"/>
  <c r="F22" i="1"/>
  <c r="E22" i="1"/>
  <c r="O21" i="1"/>
  <c r="N21" i="1"/>
  <c r="S21" i="1" s="1"/>
  <c r="J21" i="1"/>
  <c r="I21" i="1"/>
  <c r="H21" i="1"/>
  <c r="F21" i="1"/>
  <c r="E21" i="1"/>
  <c r="S20" i="1"/>
  <c r="O20" i="1"/>
  <c r="N20" i="1"/>
  <c r="P20" i="1" s="1"/>
  <c r="Q20" i="1" s="1"/>
  <c r="R20" i="1" s="1"/>
  <c r="J20" i="1"/>
  <c r="I20" i="1"/>
  <c r="H20" i="1"/>
  <c r="F20" i="1"/>
  <c r="E20" i="1"/>
  <c r="O19" i="1"/>
  <c r="P19" i="1" s="1"/>
  <c r="Q19" i="1" s="1"/>
  <c r="N19" i="1"/>
  <c r="S19" i="1" s="1"/>
  <c r="J19" i="1"/>
  <c r="I19" i="1"/>
  <c r="H19" i="1"/>
  <c r="F19" i="1"/>
  <c r="E19" i="1"/>
  <c r="S18" i="1"/>
  <c r="O18" i="1"/>
  <c r="N18" i="1"/>
  <c r="P18" i="1" s="1"/>
  <c r="Q18" i="1" s="1"/>
  <c r="J18" i="1"/>
  <c r="I18" i="1"/>
  <c r="H18" i="1"/>
  <c r="F18" i="1"/>
  <c r="E18" i="1"/>
  <c r="O17" i="1"/>
  <c r="P17" i="1" s="1"/>
  <c r="Q17" i="1" s="1"/>
  <c r="N17" i="1"/>
  <c r="S17" i="1" s="1"/>
  <c r="J17" i="1"/>
  <c r="I17" i="1"/>
  <c r="H17" i="1"/>
  <c r="F17" i="1"/>
  <c r="E17" i="1"/>
  <c r="S16" i="1"/>
  <c r="O16" i="1"/>
  <c r="N16" i="1"/>
  <c r="P16" i="1" s="1"/>
  <c r="Q16" i="1" s="1"/>
  <c r="J16" i="1"/>
  <c r="I16" i="1"/>
  <c r="H16" i="1"/>
  <c r="F16" i="1"/>
  <c r="E16" i="1"/>
  <c r="O15" i="1"/>
  <c r="P15" i="1" s="1"/>
  <c r="Q15" i="1" s="1"/>
  <c r="N15" i="1"/>
  <c r="S15" i="1" s="1"/>
  <c r="J15" i="1"/>
  <c r="I15" i="1"/>
  <c r="H15" i="1"/>
  <c r="F15" i="1"/>
  <c r="E15" i="1"/>
  <c r="S14" i="1"/>
  <c r="O14" i="1"/>
  <c r="N14" i="1"/>
  <c r="P14" i="1" s="1"/>
  <c r="Q14" i="1" s="1"/>
  <c r="J14" i="1"/>
  <c r="I14" i="1"/>
  <c r="H14" i="1"/>
  <c r="F14" i="1"/>
  <c r="E14" i="1"/>
  <c r="O13" i="1"/>
  <c r="P13" i="1" s="1"/>
  <c r="Q13" i="1" s="1"/>
  <c r="N13" i="1"/>
  <c r="S13" i="1" s="1"/>
  <c r="J13" i="1"/>
  <c r="I13" i="1"/>
  <c r="H13" i="1"/>
  <c r="F13" i="1"/>
  <c r="E13" i="1"/>
  <c r="S12" i="1"/>
  <c r="O12" i="1"/>
  <c r="N12" i="1"/>
  <c r="P12" i="1" s="1"/>
  <c r="Q12" i="1" s="1"/>
  <c r="J12" i="1"/>
  <c r="I12" i="1"/>
  <c r="H12" i="1"/>
  <c r="F12" i="1"/>
  <c r="E12" i="1"/>
  <c r="O11" i="1"/>
  <c r="P11" i="1" s="1"/>
  <c r="Q11" i="1" s="1"/>
  <c r="N11" i="1"/>
  <c r="S11" i="1" s="1"/>
  <c r="J11" i="1"/>
  <c r="I11" i="1"/>
  <c r="H11" i="1"/>
  <c r="F11" i="1"/>
  <c r="E11" i="1"/>
  <c r="S10" i="1"/>
  <c r="O10" i="1"/>
  <c r="N10" i="1"/>
  <c r="P10" i="1" s="1"/>
  <c r="Q10" i="1" s="1"/>
  <c r="J10" i="1"/>
  <c r="I10" i="1"/>
  <c r="H10" i="1"/>
  <c r="F10" i="1"/>
  <c r="E10" i="1"/>
  <c r="O9" i="1"/>
  <c r="P9" i="1" s="1"/>
  <c r="Q9" i="1" s="1"/>
  <c r="N9" i="1"/>
  <c r="S9" i="1" s="1"/>
  <c r="J9" i="1"/>
  <c r="I9" i="1"/>
  <c r="H9" i="1"/>
  <c r="F9" i="1"/>
  <c r="E9" i="1"/>
  <c r="S8" i="1"/>
  <c r="O8" i="1"/>
  <c r="N8" i="1"/>
  <c r="P8" i="1" s="1"/>
  <c r="Q8" i="1" s="1"/>
  <c r="J8" i="1"/>
  <c r="I8" i="1"/>
  <c r="H8" i="1"/>
  <c r="F8" i="1"/>
  <c r="E8" i="1"/>
  <c r="O7" i="1"/>
  <c r="P7" i="1" s="1"/>
  <c r="Q7" i="1" s="1"/>
  <c r="N7" i="1"/>
  <c r="S7" i="1" s="1"/>
  <c r="J7" i="1"/>
  <c r="I7" i="1"/>
  <c r="H7" i="1"/>
  <c r="F7" i="1"/>
  <c r="E7" i="1"/>
  <c r="S6" i="1"/>
  <c r="O6" i="1"/>
  <c r="N6" i="1"/>
  <c r="J6" i="1"/>
  <c r="I6" i="1"/>
  <c r="H6" i="1"/>
  <c r="F6" i="1"/>
  <c r="E6" i="1"/>
  <c r="O5" i="1"/>
  <c r="N5" i="1"/>
  <c r="B5" i="4" s="1"/>
  <c r="J5" i="1"/>
  <c r="I5" i="1"/>
  <c r="H5" i="1"/>
  <c r="F5" i="1"/>
  <c r="E5" i="1"/>
  <c r="S4" i="1"/>
  <c r="O4" i="1"/>
  <c r="N4" i="1"/>
  <c r="B3" i="4" s="1"/>
  <c r="J4" i="1"/>
  <c r="I4" i="1"/>
  <c r="H4" i="1"/>
  <c r="F4" i="1"/>
  <c r="E4" i="1"/>
  <c r="O3" i="1"/>
  <c r="N3" i="1"/>
  <c r="B4" i="4" s="1"/>
  <c r="J3" i="1"/>
  <c r="I3" i="1"/>
  <c r="H3" i="1"/>
  <c r="F3" i="1"/>
  <c r="E3" i="1"/>
  <c r="S2" i="1"/>
  <c r="O2" i="1"/>
  <c r="N2" i="1"/>
  <c r="B6" i="4" s="1"/>
  <c r="J2" i="1"/>
  <c r="I2" i="1"/>
  <c r="H2" i="1"/>
  <c r="F2" i="1"/>
  <c r="E2" i="1"/>
  <c r="R8" i="1" l="1"/>
  <c r="T8" i="1"/>
  <c r="T11" i="1"/>
  <c r="R11" i="1"/>
  <c r="T35" i="1"/>
  <c r="R35" i="1"/>
  <c r="R18" i="1"/>
  <c r="T18" i="1"/>
  <c r="R16" i="1"/>
  <c r="T16" i="1"/>
  <c r="T9" i="1"/>
  <c r="R9" i="1"/>
  <c r="T7" i="1"/>
  <c r="R7" i="1"/>
  <c r="R14" i="1"/>
  <c r="T14" i="1"/>
  <c r="T17" i="1"/>
  <c r="R17" i="1"/>
  <c r="R19" i="1"/>
  <c r="T19" i="1"/>
  <c r="R12" i="1"/>
  <c r="T12" i="1"/>
  <c r="T15" i="1"/>
  <c r="R15" i="1"/>
  <c r="R10" i="1"/>
  <c r="T10" i="1"/>
  <c r="T13" i="1"/>
  <c r="R13" i="1"/>
  <c r="T27" i="1"/>
  <c r="R27" i="1"/>
  <c r="C12" i="5"/>
  <c r="C11" i="5"/>
  <c r="B21" i="4"/>
  <c r="C10" i="5"/>
  <c r="B20" i="4"/>
  <c r="B19" i="4"/>
  <c r="P5" i="1"/>
  <c r="Q5" i="1" s="1"/>
  <c r="P57" i="1"/>
  <c r="Q57" i="1" s="1"/>
  <c r="R57" i="1" s="1"/>
  <c r="S57" i="1"/>
  <c r="P87" i="1"/>
  <c r="Q87" i="1" s="1"/>
  <c r="R87" i="1" s="1"/>
  <c r="S87" i="1"/>
  <c r="P3" i="1"/>
  <c r="Q3" i="1" s="1"/>
  <c r="P49" i="1"/>
  <c r="Q49" i="1" s="1"/>
  <c r="R49" i="1" s="1"/>
  <c r="S49" i="1"/>
  <c r="P65" i="1"/>
  <c r="Q65" i="1" s="1"/>
  <c r="R65" i="1" s="1"/>
  <c r="S65" i="1"/>
  <c r="P95" i="1"/>
  <c r="Q95" i="1" s="1"/>
  <c r="R95" i="1" s="1"/>
  <c r="S95" i="1"/>
  <c r="T20" i="1"/>
  <c r="P25" i="1"/>
  <c r="Q25" i="1" s="1"/>
  <c r="R25" i="1" s="1"/>
  <c r="S26" i="1"/>
  <c r="T28" i="1"/>
  <c r="P33" i="1"/>
  <c r="Q33" i="1" s="1"/>
  <c r="R33" i="1" s="1"/>
  <c r="S34" i="1"/>
  <c r="T36" i="1"/>
  <c r="P41" i="1"/>
  <c r="Q41" i="1" s="1"/>
  <c r="R41" i="1" s="1"/>
  <c r="P45" i="1"/>
  <c r="Q45" i="1" s="1"/>
  <c r="R45" i="1" s="1"/>
  <c r="T52" i="1"/>
  <c r="T60" i="1"/>
  <c r="P67" i="1"/>
  <c r="Q67" i="1" s="1"/>
  <c r="R67" i="1" s="1"/>
  <c r="S67" i="1"/>
  <c r="T81" i="1"/>
  <c r="P97" i="1"/>
  <c r="Q97" i="1" s="1"/>
  <c r="R97" i="1" s="1"/>
  <c r="S97" i="1"/>
  <c r="P99" i="1"/>
  <c r="Q99" i="1" s="1"/>
  <c r="R99" i="1" s="1"/>
  <c r="S99" i="1"/>
  <c r="P101" i="1"/>
  <c r="Q101" i="1" s="1"/>
  <c r="R101" i="1" s="1"/>
  <c r="S101" i="1"/>
  <c r="T42" i="1"/>
  <c r="P51" i="1"/>
  <c r="Q51" i="1" s="1"/>
  <c r="R51" i="1" s="1"/>
  <c r="S51" i="1"/>
  <c r="P59" i="1"/>
  <c r="Q59" i="1" s="1"/>
  <c r="R59" i="1" s="1"/>
  <c r="S59" i="1"/>
  <c r="P69" i="1"/>
  <c r="Q69" i="1" s="1"/>
  <c r="R69" i="1" s="1"/>
  <c r="S69" i="1"/>
  <c r="P71" i="1"/>
  <c r="Q71" i="1" s="1"/>
  <c r="R71" i="1" s="1"/>
  <c r="S71" i="1"/>
  <c r="P73" i="1"/>
  <c r="Q73" i="1" s="1"/>
  <c r="R73" i="1" s="1"/>
  <c r="S73" i="1"/>
  <c r="P75" i="1"/>
  <c r="Q75" i="1" s="1"/>
  <c r="R75" i="1" s="1"/>
  <c r="S75" i="1"/>
  <c r="P77" i="1"/>
  <c r="Q77" i="1" s="1"/>
  <c r="R77" i="1" s="1"/>
  <c r="S77" i="1"/>
  <c r="P79" i="1"/>
  <c r="Q79" i="1" s="1"/>
  <c r="R79" i="1" s="1"/>
  <c r="S79" i="1"/>
  <c r="P81" i="1"/>
  <c r="Q81" i="1" s="1"/>
  <c r="R81" i="1" s="1"/>
  <c r="S81" i="1"/>
  <c r="P89" i="1"/>
  <c r="Q89" i="1" s="1"/>
  <c r="R89" i="1" s="1"/>
  <c r="S89" i="1"/>
  <c r="S3" i="1"/>
  <c r="S5" i="1"/>
  <c r="P23" i="1"/>
  <c r="Q23" i="1" s="1"/>
  <c r="R23" i="1" s="1"/>
  <c r="T26" i="1"/>
  <c r="S27" i="1"/>
  <c r="P31" i="1"/>
  <c r="Q31" i="1" s="1"/>
  <c r="R31" i="1" s="1"/>
  <c r="T34" i="1"/>
  <c r="S35" i="1"/>
  <c r="P39" i="1"/>
  <c r="Q39" i="1" s="1"/>
  <c r="R39" i="1" s="1"/>
  <c r="P42" i="1"/>
  <c r="Q42" i="1" s="1"/>
  <c r="R42" i="1" s="1"/>
  <c r="P46" i="1"/>
  <c r="Q46" i="1" s="1"/>
  <c r="R46" i="1" s="1"/>
  <c r="T54" i="1"/>
  <c r="T62" i="1"/>
  <c r="T83" i="1"/>
  <c r="T91" i="1"/>
  <c r="P2" i="1"/>
  <c r="Q2" i="1" s="1"/>
  <c r="P6" i="1"/>
  <c r="Q6" i="1" s="1"/>
  <c r="P4" i="1"/>
  <c r="Q4" i="1" s="1"/>
  <c r="P28" i="1"/>
  <c r="Q28" i="1" s="1"/>
  <c r="R28" i="1" s="1"/>
  <c r="P36" i="1"/>
  <c r="Q36" i="1" s="1"/>
  <c r="R36" i="1" s="1"/>
  <c r="T47" i="1"/>
  <c r="P53" i="1"/>
  <c r="Q53" i="1" s="1"/>
  <c r="R53" i="1" s="1"/>
  <c r="S53" i="1"/>
  <c r="P61" i="1"/>
  <c r="Q61" i="1" s="1"/>
  <c r="R61" i="1" s="1"/>
  <c r="S61" i="1"/>
  <c r="P83" i="1"/>
  <c r="Q83" i="1" s="1"/>
  <c r="R83" i="1" s="1"/>
  <c r="S83" i="1"/>
  <c r="P91" i="1"/>
  <c r="Q91" i="1" s="1"/>
  <c r="R91" i="1" s="1"/>
  <c r="S91" i="1"/>
  <c r="B11" i="4"/>
  <c r="B13" i="4"/>
  <c r="P21" i="1"/>
  <c r="Q21" i="1" s="1"/>
  <c r="T24" i="1"/>
  <c r="P29" i="1"/>
  <c r="Q29" i="1" s="1"/>
  <c r="T32" i="1"/>
  <c r="P37" i="1"/>
  <c r="Q37" i="1" s="1"/>
  <c r="T40" i="1"/>
  <c r="P43" i="1"/>
  <c r="Q43" i="1" s="1"/>
  <c r="R43" i="1" s="1"/>
  <c r="P47" i="1"/>
  <c r="Q47" i="1" s="1"/>
  <c r="R47" i="1" s="1"/>
  <c r="S47" i="1"/>
  <c r="T48" i="1"/>
  <c r="T56" i="1"/>
  <c r="T64" i="1"/>
  <c r="T85" i="1"/>
  <c r="T44" i="1"/>
  <c r="P55" i="1"/>
  <c r="Q55" i="1" s="1"/>
  <c r="R55" i="1" s="1"/>
  <c r="S55" i="1"/>
  <c r="P63" i="1"/>
  <c r="Q63" i="1" s="1"/>
  <c r="R63" i="1" s="1"/>
  <c r="S63" i="1"/>
  <c r="T66" i="1"/>
  <c r="P85" i="1"/>
  <c r="Q85" i="1" s="1"/>
  <c r="R85" i="1" s="1"/>
  <c r="S85" i="1"/>
  <c r="P93" i="1"/>
  <c r="Q93" i="1" s="1"/>
  <c r="R93" i="1" s="1"/>
  <c r="S93" i="1"/>
  <c r="T96" i="1"/>
  <c r="T22" i="1"/>
  <c r="T30" i="1"/>
  <c r="T38" i="1"/>
  <c r="P44" i="1"/>
  <c r="Q44" i="1" s="1"/>
  <c r="R44" i="1" s="1"/>
  <c r="T49" i="1"/>
  <c r="T50" i="1"/>
  <c r="T57" i="1"/>
  <c r="T58" i="1"/>
  <c r="T65" i="1"/>
  <c r="T68" i="1"/>
  <c r="T87" i="1"/>
  <c r="B14" i="4" l="1"/>
  <c r="T2" i="1"/>
  <c r="R2" i="1"/>
  <c r="T89" i="1"/>
  <c r="T3" i="1"/>
  <c r="R3" i="1"/>
  <c r="T37" i="1"/>
  <c r="R37" i="1"/>
  <c r="T43" i="1"/>
  <c r="T77" i="1"/>
  <c r="T67" i="1"/>
  <c r="T23" i="1"/>
  <c r="T29" i="1"/>
  <c r="R29" i="1"/>
  <c r="T75" i="1"/>
  <c r="T39" i="1"/>
  <c r="B15" i="4"/>
  <c r="T21" i="1"/>
  <c r="R21" i="1"/>
  <c r="T99" i="1"/>
  <c r="T73" i="1"/>
  <c r="T51" i="1"/>
  <c r="T31" i="1"/>
  <c r="T63" i="1"/>
  <c r="T79" i="1"/>
  <c r="T33" i="1"/>
  <c r="T55" i="1"/>
  <c r="T59" i="1"/>
  <c r="T61" i="1"/>
  <c r="T101" i="1"/>
  <c r="T95" i="1"/>
  <c r="T93" i="1"/>
  <c r="B12" i="4"/>
  <c r="R4" i="1"/>
  <c r="T4" i="1"/>
  <c r="T53" i="1"/>
  <c r="T46" i="1"/>
  <c r="T71" i="1"/>
  <c r="T45" i="1"/>
  <c r="T5" i="1"/>
  <c r="R5" i="1"/>
  <c r="R6" i="1"/>
  <c r="T6" i="1"/>
  <c r="T69" i="1"/>
  <c r="T97" i="1"/>
  <c r="T41" i="1"/>
  <c r="T25" i="1"/>
  <c r="C9" i="5" l="1"/>
  <c r="B25" i="4"/>
  <c r="B27" i="4"/>
  <c r="B26" i="4"/>
</calcChain>
</file>

<file path=xl/sharedStrings.xml><?xml version="1.0" encoding="utf-8"?>
<sst xmlns="http://schemas.openxmlformats.org/spreadsheetml/2006/main" count="637" uniqueCount="208">
  <si>
    <t>ID_Operación</t>
  </si>
  <si>
    <t>Fecha</t>
  </si>
  <si>
    <t>Cliente</t>
  </si>
  <si>
    <t>Código Producto</t>
  </si>
  <si>
    <t>Producto</t>
  </si>
  <si>
    <t>Categoría</t>
  </si>
  <si>
    <t>País Destino</t>
  </si>
  <si>
    <t>Región</t>
  </si>
  <si>
    <t>Arancel %</t>
  </si>
  <si>
    <t>Clasificación</t>
  </si>
  <si>
    <t>Unidades</t>
  </si>
  <si>
    <t>Precio FOB</t>
  </si>
  <si>
    <t>Costo Unitario</t>
  </si>
  <si>
    <t>Valor FOB</t>
  </si>
  <si>
    <t>Costo total</t>
  </si>
  <si>
    <t>Utilidad</t>
  </si>
  <si>
    <t>Margen</t>
  </si>
  <si>
    <t>Nivel de rentabilidad</t>
  </si>
  <si>
    <t>Nivel de operación</t>
  </si>
  <si>
    <t>Prioridad comercial</t>
  </si>
  <si>
    <t>Estado</t>
  </si>
  <si>
    <t>EX001</t>
  </si>
  <si>
    <t>Comercial Maya</t>
  </si>
  <si>
    <t>P003</t>
  </si>
  <si>
    <t>Guatemala</t>
  </si>
  <si>
    <t>Embarcado</t>
  </si>
  <si>
    <t>EX002</t>
  </si>
  <si>
    <t>Global Foods</t>
  </si>
  <si>
    <t>P001</t>
  </si>
  <si>
    <t>EE.UU.</t>
  </si>
  <si>
    <t>Entregado</t>
  </si>
  <si>
    <t>EX003</t>
  </si>
  <si>
    <t>Distribuidora Tica</t>
  </si>
  <si>
    <t>P004</t>
  </si>
  <si>
    <t>Costa Rica</t>
  </si>
  <si>
    <t>EX004</t>
  </si>
  <si>
    <t>Iberia Foods</t>
  </si>
  <si>
    <t>P002</t>
  </si>
  <si>
    <t>España</t>
  </si>
  <si>
    <t>Pendiente</t>
  </si>
  <si>
    <t>EX005</t>
  </si>
  <si>
    <t>Comercial Azteca</t>
  </si>
  <si>
    <t>P005</t>
  </si>
  <si>
    <t>México</t>
  </si>
  <si>
    <t>EX006</t>
  </si>
  <si>
    <t>EX007</t>
  </si>
  <si>
    <t>EX008</t>
  </si>
  <si>
    <t>EX009</t>
  </si>
  <si>
    <t>EX010</t>
  </si>
  <si>
    <t>EX011</t>
  </si>
  <si>
    <t>EX012</t>
  </si>
  <si>
    <t>EX013</t>
  </si>
  <si>
    <t>EX014</t>
  </si>
  <si>
    <t>EX015</t>
  </si>
  <si>
    <t>EX016</t>
  </si>
  <si>
    <t>EX017</t>
  </si>
  <si>
    <t>EX018</t>
  </si>
  <si>
    <t>EX019</t>
  </si>
  <si>
    <t>EX020</t>
  </si>
  <si>
    <t>EX021</t>
  </si>
  <si>
    <t>EX022</t>
  </si>
  <si>
    <t>EX023</t>
  </si>
  <si>
    <t>EX024</t>
  </si>
  <si>
    <t>EX025</t>
  </si>
  <si>
    <t>EX026</t>
  </si>
  <si>
    <t>EX027</t>
  </si>
  <si>
    <t>EX028</t>
  </si>
  <si>
    <t>EX029</t>
  </si>
  <si>
    <t>EX030</t>
  </si>
  <si>
    <t>EX031</t>
  </si>
  <si>
    <t>EX032</t>
  </si>
  <si>
    <t>EX033</t>
  </si>
  <si>
    <t>EX034</t>
  </si>
  <si>
    <t>EX035</t>
  </si>
  <si>
    <t>EX036</t>
  </si>
  <si>
    <t>EX037</t>
  </si>
  <si>
    <t>EX038</t>
  </si>
  <si>
    <t>EX039</t>
  </si>
  <si>
    <t>EX040</t>
  </si>
  <si>
    <t>EX041</t>
  </si>
  <si>
    <t>EX042</t>
  </si>
  <si>
    <t>EX043</t>
  </si>
  <si>
    <t>EX044</t>
  </si>
  <si>
    <t>EX045</t>
  </si>
  <si>
    <t>EX046</t>
  </si>
  <si>
    <t>EX047</t>
  </si>
  <si>
    <t>EX048</t>
  </si>
  <si>
    <t>EX049</t>
  </si>
  <si>
    <t>EX050</t>
  </si>
  <si>
    <t>EX051</t>
  </si>
  <si>
    <t>EX052</t>
  </si>
  <si>
    <t>EX053</t>
  </si>
  <si>
    <t>EX054</t>
  </si>
  <si>
    <t>EX055</t>
  </si>
  <si>
    <t>EX056</t>
  </si>
  <si>
    <t>EX057</t>
  </si>
  <si>
    <t>EX058</t>
  </si>
  <si>
    <t>EX059</t>
  </si>
  <si>
    <t>EX060</t>
  </si>
  <si>
    <t>EX061</t>
  </si>
  <si>
    <t>EX062</t>
  </si>
  <si>
    <t>EX063</t>
  </si>
  <si>
    <t>EX064</t>
  </si>
  <si>
    <t>EX065</t>
  </si>
  <si>
    <t>EX066</t>
  </si>
  <si>
    <t>EX067</t>
  </si>
  <si>
    <t>EX068</t>
  </si>
  <si>
    <t>EX069</t>
  </si>
  <si>
    <t>EX070</t>
  </si>
  <si>
    <t>EX071</t>
  </si>
  <si>
    <t>EX072</t>
  </si>
  <si>
    <t>EX073</t>
  </si>
  <si>
    <t>EX074</t>
  </si>
  <si>
    <t>EX075</t>
  </si>
  <si>
    <t>EX076</t>
  </si>
  <si>
    <t>EX077</t>
  </si>
  <si>
    <t>EX078</t>
  </si>
  <si>
    <t>EX079</t>
  </si>
  <si>
    <t>EX080</t>
  </si>
  <si>
    <t>EX081</t>
  </si>
  <si>
    <t>EX082</t>
  </si>
  <si>
    <t>EX083</t>
  </si>
  <si>
    <t>EX084</t>
  </si>
  <si>
    <t>EX085</t>
  </si>
  <si>
    <t>EX086</t>
  </si>
  <si>
    <t>EX087</t>
  </si>
  <si>
    <t>EX088</t>
  </si>
  <si>
    <t>EX089</t>
  </si>
  <si>
    <t>EX090</t>
  </si>
  <si>
    <t>EX091</t>
  </si>
  <si>
    <t>EX092</t>
  </si>
  <si>
    <t>EX093</t>
  </si>
  <si>
    <t>EX094</t>
  </si>
  <si>
    <t>EX095</t>
  </si>
  <si>
    <t>EX096</t>
  </si>
  <si>
    <t>EX097</t>
  </si>
  <si>
    <t>EX098</t>
  </si>
  <si>
    <t>EX099</t>
  </si>
  <si>
    <t>EX100</t>
  </si>
  <si>
    <t>Código</t>
  </si>
  <si>
    <t>Unidad de Medida</t>
  </si>
  <si>
    <t>Café especial</t>
  </si>
  <si>
    <t>Café</t>
  </si>
  <si>
    <t>Kg</t>
  </si>
  <si>
    <t>Cacao en grano</t>
  </si>
  <si>
    <t>Cacao</t>
  </si>
  <si>
    <t>Miel natural</t>
  </si>
  <si>
    <t>Apícola</t>
  </si>
  <si>
    <t>Maní procesado</t>
  </si>
  <si>
    <t>Semillas</t>
  </si>
  <si>
    <t>Aceite de ajonjolí</t>
  </si>
  <si>
    <t>Aceites</t>
  </si>
  <si>
    <t>Litro</t>
  </si>
  <si>
    <t>País</t>
  </si>
  <si>
    <t>Norteamérica</t>
  </si>
  <si>
    <t>Estratégico</t>
  </si>
  <si>
    <t>Potencial</t>
  </si>
  <si>
    <t>Centroamérica</t>
  </si>
  <si>
    <t>El Salvador</t>
  </si>
  <si>
    <t>Europa</t>
  </si>
  <si>
    <t>TABLA DINÁMICA 1: Valor FOB por País</t>
  </si>
  <si>
    <t>Valor FOB Total (US$)</t>
  </si>
  <si>
    <t>TABLA DINÁMICA 2: Utilidad por Producto</t>
  </si>
  <si>
    <t>Utilidad Total (US$)</t>
  </si>
  <si>
    <t>TABLA DINÁMICA 3: Ventas (Valor FOB) por Región</t>
  </si>
  <si>
    <t>TABLA DINÁMICA 4: Operaciones por Clasificación de Prioridad</t>
  </si>
  <si>
    <t>Prioridad Comercial</t>
  </si>
  <si>
    <t>Cantidad de Operaciones</t>
  </si>
  <si>
    <t>Alta</t>
  </si>
  <si>
    <t>Baja</t>
  </si>
  <si>
    <t>Media</t>
  </si>
  <si>
    <t>Nº</t>
  </si>
  <si>
    <t>Pregunta de Análisis</t>
  </si>
  <si>
    <t>Resultado / Fórmula en Excel</t>
  </si>
  <si>
    <t>¿Cuántas operaciones internacionales se realizaron?</t>
  </si>
  <si>
    <t>¿Cuántas operaciones están pendientes?</t>
  </si>
  <si>
    <t>¿Cuál es el país con mayor cantidad de operaciones?</t>
  </si>
  <si>
    <t>Guatemala (20 operaciones)</t>
  </si>
  <si>
    <t>¿Cuál es el país que genera mayor valor FOB?</t>
  </si>
  <si>
    <t>EE.UU. ($168,745.00)</t>
  </si>
  <si>
    <t>¿Cuál es el producto más exportado por unidades?</t>
  </si>
  <si>
    <t>Café especial (26,180 unidades)</t>
  </si>
  <si>
    <t>¿Cuál es el producto que genera mayor utilidad?</t>
  </si>
  <si>
    <t>Café especial ($62,832.00)</t>
  </si>
  <si>
    <t>¿Cuál es el mercado con mayor margen promedio?</t>
  </si>
  <si>
    <t>EE.UU. (33.04%)</t>
  </si>
  <si>
    <t>¿Cuántas operaciones tienen rentabilidad alta?</t>
  </si>
  <si>
    <t>¿Cuánto se exportó hacia Centroamérica?</t>
  </si>
  <si>
    <t>¿Cuánto se exportó hacia Norteamérica?</t>
  </si>
  <si>
    <t>¿Cuánto se exportó hacia Europa?</t>
  </si>
  <si>
    <t>¿Qué operaciones tienen prioridad comercial alta?</t>
  </si>
  <si>
    <t>48 operaciones (Ver columna T en Operaciones)</t>
  </si>
  <si>
    <t>¿Qué clientes generan mayor valor de exportación?</t>
  </si>
  <si>
    <t>Global Foods ($168,745.00), Iberia Foods ($136,328.00)</t>
  </si>
  <si>
    <t>¿Qué operaciones requieren atención por estar pendientes?</t>
  </si>
  <si>
    <t>15 operaciones específicas (EX004, EX012, etc.)</t>
  </si>
  <si>
    <t>Gráfico Analítico</t>
  </si>
  <si>
    <t>Interpretación Gerencial / Comercial</t>
  </si>
  <si>
    <t>1. Valor FOB por País</t>
  </si>
  <si>
    <t>Estados Unidos se consolida como el principal mercado de exportación de Nica Export Trading, S.A., generando US$ 168,745.00, impulsado fuertemente por la demanda de café especial. España e incluso mercados regionales como México y Guatemala también muestran volúmenes muy sólidos, evidenciando una diversificación comercial favorable pero con claro liderazgo norteamericano.</t>
  </si>
  <si>
    <t>2. Utilidad por Producto</t>
  </si>
  <si>
    <t>El Café Especial encabeza de manera absoluta la generación de utilidad neta para la empresa (US$ 62,832.00), seguido por el Aceite de Ajonjolí y la Miel Natural. Esto demuestra que los productos de valor agregado agroindustrial y de alta calidad son los verdaderos motores de rentabilidad, superando a los commodities básicos en términos de margen porcentual.</t>
  </si>
  <si>
    <t>3. Valor FOB por Región</t>
  </si>
  <si>
    <t>Norteamérica representa la región con mayor valor de exportación (US$ 289,058.00), seguida de cerca por Centroamérica (US$ 232,879.00) y Europa (US$ 136,328.00). La cercanía logística con Centroamérica facilita un flujo constante de operaciones, mientras que Norteamérica concentra el mayor valor monetario gracias a pedidos de mayor escala y precios FOB superiores.</t>
  </si>
  <si>
    <t>Columna1</t>
  </si>
  <si>
    <t>Columna2</t>
  </si>
  <si>
    <t>Columna3</t>
  </si>
  <si>
    <t>Columna4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</si>
</sst>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9F9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Valor FOB por País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Tablas y Gráficos'!$A$2:$A$7</c:f>
              <c:strCache>
                <c:ptCount val="6"/>
                <c:pt idx="0">
                  <c:v>País Destino</c:v>
                </c:pt>
                <c:pt idx="1">
                  <c:v>Costa Rica</c:v>
                </c:pt>
                <c:pt idx="2">
                  <c:v>EE.UU.</c:v>
                </c:pt>
                <c:pt idx="3">
                  <c:v>España</c:v>
                </c:pt>
                <c:pt idx="4">
                  <c:v>Guatemala</c:v>
                </c:pt>
                <c:pt idx="5">
                  <c:v>México</c:v>
                </c:pt>
              </c:strCache>
            </c:strRef>
          </c:cat>
          <c:val>
            <c:numRef>
              <c:f>' Tablas y Gráficos'!$B$2:$B$7</c:f>
              <c:numCache>
                <c:formatCode>General</c:formatCode>
                <c:ptCount val="6"/>
                <c:pt idx="0">
                  <c:v>0</c:v>
                </c:pt>
                <c:pt idx="1">
                  <c:v>113544</c:v>
                </c:pt>
                <c:pt idx="2">
                  <c:v>168745</c:v>
                </c:pt>
                <c:pt idx="3">
                  <c:v>136328</c:v>
                </c:pt>
                <c:pt idx="4">
                  <c:v>119335</c:v>
                </c:pt>
                <c:pt idx="5">
                  <c:v>120313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F-4A94-9D34-2192FEF25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32350"/>
        <c:axId val="18010499"/>
      </c:barChart>
      <c:catAx>
        <c:axId val="202323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País Destino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8010499"/>
        <c:crosses val="autoZero"/>
        <c:auto val="1"/>
        <c:lblAlgn val="ctr"/>
        <c:lblOffset val="100"/>
        <c:noMultiLvlLbl val="0"/>
      </c:catAx>
      <c:valAx>
        <c:axId val="180104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Valor FOB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2323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Utilidad por Producto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 Tablas y Gráficos'!$B$9</c:f>
              <c:strCache>
                <c:ptCount val="1"/>
                <c:pt idx="0">
                  <c:v>Columna1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 Tablas y Gráficos'!$A$10:$A$15</c:f>
              <c:strCache>
                <c:ptCount val="6"/>
                <c:pt idx="0">
                  <c:v>Producto</c:v>
                </c:pt>
                <c:pt idx="1">
                  <c:v>Aceite de ajonjolí</c:v>
                </c:pt>
                <c:pt idx="2">
                  <c:v>Cacao en grano</c:v>
                </c:pt>
                <c:pt idx="3">
                  <c:v>Café especial</c:v>
                </c:pt>
                <c:pt idx="4">
                  <c:v>Maní procesado</c:v>
                </c:pt>
                <c:pt idx="5">
                  <c:v>Miel natural</c:v>
                </c:pt>
              </c:strCache>
            </c:strRef>
          </c:cat>
          <c:val>
            <c:numRef>
              <c:f>' Tablas y Gráficos'!$B$10:$B$15</c:f>
              <c:numCache>
                <c:formatCode>General</c:formatCode>
                <c:ptCount val="6"/>
                <c:pt idx="0">
                  <c:v>0</c:v>
                </c:pt>
                <c:pt idx="1">
                  <c:v>42218</c:v>
                </c:pt>
                <c:pt idx="2">
                  <c:v>36800</c:v>
                </c:pt>
                <c:pt idx="3">
                  <c:v>62832</c:v>
                </c:pt>
                <c:pt idx="4">
                  <c:v>33533.999999999993</c:v>
                </c:pt>
                <c:pt idx="5">
                  <c:v>38688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CB-484C-B8CF-CF956D6CB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706115"/>
        <c:axId val="86348872"/>
      </c:barChart>
      <c:catAx>
        <c:axId val="7970611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Utilidad (US$)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348872"/>
        <c:crosses val="autoZero"/>
        <c:auto val="1"/>
        <c:lblAlgn val="ctr"/>
        <c:lblOffset val="100"/>
        <c:noMultiLvlLbl val="0"/>
      </c:catAx>
      <c:valAx>
        <c:axId val="8634887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Producto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7061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Valor FOB por Región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 Tablas y Gráficos'!$C$17</c:f>
              <c:strCache>
                <c:ptCount val="1"/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B8E-4388-853B-FE3DE28666A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B8E-4388-853B-FE3DE28666A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B8E-4388-853B-FE3DE28666A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B8E-4388-853B-FE3DE28666A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B8E-4388-853B-FE3DE28666A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B8E-4388-853B-FE3DE28666A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B8E-4388-853B-FE3DE28666A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B8E-4388-853B-FE3DE28666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 Tablas y Gráficos'!$A$18:$A$21</c:f>
              <c:strCache>
                <c:ptCount val="4"/>
                <c:pt idx="0">
                  <c:v>Región</c:v>
                </c:pt>
                <c:pt idx="1">
                  <c:v>Centroamérica</c:v>
                </c:pt>
                <c:pt idx="2">
                  <c:v>Europa</c:v>
                </c:pt>
                <c:pt idx="3">
                  <c:v>Norteamérica</c:v>
                </c:pt>
              </c:strCache>
            </c:strRef>
          </c:cat>
          <c:val>
            <c:numRef>
              <c:f>' Tablas y Gráficos'!$B$18:$B$21</c:f>
              <c:numCache>
                <c:formatCode>General</c:formatCode>
                <c:ptCount val="4"/>
                <c:pt idx="0">
                  <c:v>0</c:v>
                </c:pt>
                <c:pt idx="1">
                  <c:v>232879</c:v>
                </c:pt>
                <c:pt idx="2">
                  <c:v>136328</c:v>
                </c:pt>
                <c:pt idx="3">
                  <c:v>289058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8E-4388-853B-FE3DE28666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12</xdr:col>
      <xdr:colOff>255960</xdr:colOff>
      <xdr:row>16</xdr:row>
      <xdr:rowOff>21960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12</xdr:col>
      <xdr:colOff>255960</xdr:colOff>
      <xdr:row>32</xdr:row>
      <xdr:rowOff>22320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33</xdr:row>
      <xdr:rowOff>0</xdr:rowOff>
    </xdr:from>
    <xdr:to>
      <xdr:col>11</xdr:col>
      <xdr:colOff>147600</xdr:colOff>
      <xdr:row>48</xdr:row>
      <xdr:rowOff>22320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53A7900-C8D5-494B-87D0-0C3EA156C075}" name="Tabla8" displayName="Tabla8" ref="A1:D7" totalsRowShown="0">
  <autoFilter ref="A1:D7" xr:uid="{453A7900-C8D5-494B-87D0-0C3EA156C075}"/>
  <tableColumns count="4">
    <tableColumn id="1" xr3:uid="{C9CB70F1-2BB1-43A2-9D20-B9D68CE8B940}" name="Columna1"/>
    <tableColumn id="2" xr3:uid="{B95ED078-488E-4FB4-BDB7-A140DABF077B}" name="Columna2"/>
    <tableColumn id="3" xr3:uid="{6CC30596-A3CA-4E8D-B0E3-858B28D68F03}" name="Columna3"/>
    <tableColumn id="4" xr3:uid="{80CC72E1-23D7-42BF-908E-AB5C1686A7F0}" name="Columna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C2B418-594D-426E-8D66-C57A29CBF8CF}" name="Tabla7" displayName="Tabla7" ref="A1:D7" totalsRowShown="0">
  <autoFilter ref="A1:D7" xr:uid="{BBC2B418-594D-426E-8D66-C57A29CBF8CF}"/>
  <tableColumns count="4">
    <tableColumn id="1" xr3:uid="{483D5963-6A5D-4654-90D8-2C5CD0DDD728}" name="País"/>
    <tableColumn id="2" xr3:uid="{B490C958-6408-4BC1-B8A2-4ABD5660F981}" name="Región"/>
    <tableColumn id="3" xr3:uid="{5C208242-85F4-4E7E-8B3E-CBF25F771827}" name="Arancel %"/>
    <tableColumn id="4" xr3:uid="{1945D720-C208-4CC6-BCA6-BE4DC0078694}" name="Clasific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FCC137-4461-44F0-8A72-1C773858F33E}" name="Tabla6" displayName="Tabla6" ref="B1:C15" totalsRowShown="0">
  <autoFilter ref="B1:C15" xr:uid="{D8FCC137-4461-44F0-8A72-1C773858F33E}"/>
  <tableColumns count="2">
    <tableColumn id="1" xr3:uid="{76AB607E-3C84-4DD5-8554-D5D436D837DC}" name="Pregunta de Análisis"/>
    <tableColumn id="2" xr3:uid="{D4B438DC-D7B0-4242-84C4-37542F8E1162}" name="Resultado / Fórmula en Excel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82C889-58C7-43D4-BBEC-22ABA99F306B}" name="Tabla1" displayName="Tabla1" ref="A1:B7" totalsRowShown="0">
  <autoFilter ref="A1:B7" xr:uid="{2882C889-58C7-43D4-BBEC-22ABA99F306B}"/>
  <tableColumns count="2">
    <tableColumn id="1" xr3:uid="{40C3094B-9436-4BDB-91D0-51772823AB1F}" name="TABLA DINÁMICA 1: Valor FOB por País"/>
    <tableColumn id="2" xr3:uid="{F0C24992-11C8-4825-B94B-1FA08AA196A0}" name="Columna1">
      <calculatedColumnFormula>SUMIF('1. Operaciones'!$G$2:$G$101, A2, '1. Operaciones'!$N$2:$N$101)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522444-DD21-4D0B-9EF8-6B549A019796}" name="Tabla3" displayName="Tabla3" ref="A9:B15" totalsRowShown="0">
  <autoFilter ref="A9:B15" xr:uid="{A5522444-DD21-4D0B-9EF8-6B549A019796}"/>
  <tableColumns count="2">
    <tableColumn id="1" xr3:uid="{5A676D11-EA62-45BF-887D-6CA25BEB0DD3}" name="TABLA DINÁMICA 2: Utilidad por Producto"/>
    <tableColumn id="2" xr3:uid="{26B45D28-CF6D-44D1-A6CF-33C6E919F215}" name="Columna1">
      <calculatedColumnFormula>SUMIF('1. Operaciones'!$E$2:$E$101, A10, '1. Operaciones'!$P$2:$P$101)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E839C-A2EA-4AC6-A3D2-6488F4BA7A7C}" name="Tabla4" displayName="Tabla4" ref="A17:B21" totalsRowShown="0">
  <autoFilter ref="A17:B21" xr:uid="{342E839C-A2EA-4AC6-A3D2-6488F4BA7A7C}"/>
  <tableColumns count="2">
    <tableColumn id="1" xr3:uid="{75F59273-BDAF-41C7-82D2-B96E5CE280EB}" name="TABLA DINÁMICA 3: Ventas (Valor FOB) por Región"/>
    <tableColumn id="2" xr3:uid="{21488862-0CDD-4618-A3DA-0A46D1E5EB00}" name="Columna1">
      <calculatedColumnFormula>SUMIF('1. Operaciones'!$H$2:$H$101, A18, '1. Operaciones'!$N$2:$N$101)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84CA16-6726-40FF-878E-9F569BF47E81}" name="Tabla5" displayName="Tabla5" ref="A23:B27" totalsRowShown="0">
  <autoFilter ref="A23:B27" xr:uid="{2584CA16-6726-40FF-878E-9F569BF47E81}"/>
  <tableColumns count="2">
    <tableColumn id="1" xr3:uid="{E5AAF756-C52A-4536-941B-F913493B3128}" name="TABLA DINÁMICA 4: Operaciones por Clasificación de Prioridad"/>
    <tableColumn id="2" xr3:uid="{DBE2080B-D613-4616-99C9-926B07DB9F0F}" name="Columna1">
      <calculatedColumnFormula>COUNTIF('1. Operaciones'!$T$2:$T$101, A24)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568D98-96EF-416E-8414-A28094529287}" name="Tabla11" displayName="Tabla11" ref="A1:B4" totalsRowShown="0">
  <autoFilter ref="A1:B4" xr:uid="{AE568D98-96EF-416E-8414-A28094529287}"/>
  <tableColumns count="2">
    <tableColumn id="1" xr3:uid="{53E97411-0116-4B3B-8D8A-F9CFBC8E5AC7}" name="Gráfico Analítico"/>
    <tableColumn id="2" xr3:uid="{6B754E9D-5B7B-42A8-A4AA-DA34E16B2E62}" name="Interpretación Gerencial / Comerci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317D41-C26C-4F3D-9EBA-EF65EBC5885F}" name="Tabla12" displayName="Tabla12" ref="C1:C5" totalsRowShown="0">
  <autoFilter ref="C1:C5" xr:uid="{66317D41-C26C-4F3D-9EBA-EF65EBC5885F}"/>
  <tableColumns count="1">
    <tableColumn id="1" xr3:uid="{A4A1B290-D341-436C-8362-35204447F42A}" name="Interpretación Gerencial / Comer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a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"/>
  <sheetViews>
    <sheetView topLeftCell="A74" zoomScaleNormal="100" workbookViewId="0">
      <selection sqref="A1:J31"/>
    </sheetView>
  </sheetViews>
  <sheetFormatPr baseColWidth="10" defaultColWidth="8.6328125" defaultRowHeight="14.5" x14ac:dyDescent="0.35"/>
  <cols>
    <col min="1" max="1" width="14.6328125" customWidth="1"/>
    <col min="3" max="3" width="16.26953125" customWidth="1"/>
    <col min="4" max="4" width="15.36328125" customWidth="1"/>
    <col min="5" max="5" width="19" customWidth="1"/>
    <col min="6" max="6" width="10.90625" customWidth="1"/>
    <col min="7" max="7" width="13.7265625" customWidth="1"/>
    <col min="8" max="8" width="13.90625" customWidth="1"/>
    <col min="10" max="10" width="13.81640625" customWidth="1"/>
    <col min="12" max="12" width="13.1796875" customWidth="1"/>
    <col min="13" max="13" width="14.36328125" customWidth="1"/>
    <col min="14" max="14" width="9.6328125" customWidth="1"/>
    <col min="15" max="15" width="9.7265625" customWidth="1"/>
    <col min="18" max="18" width="19.90625" customWidth="1"/>
    <col min="19" max="19" width="17.08984375" customWidth="1"/>
    <col min="20" max="20" width="18.08984375" customWidth="1"/>
    <col min="21" max="21" width="12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t="s">
        <v>21</v>
      </c>
      <c r="B2" s="1">
        <v>46027</v>
      </c>
      <c r="C2" t="s">
        <v>22</v>
      </c>
      <c r="D2" t="s">
        <v>23</v>
      </c>
      <c r="E2" t="str">
        <f>VLOOKUP(D2, '2. Productos'!$A$3:$D$7, 2, FALSE())</f>
        <v>Miel natural</v>
      </c>
      <c r="F2" t="str">
        <f>VLOOKUP(D2, '2. Productos'!$A$3:$D$7, 3, FALSE())</f>
        <v>Apícola</v>
      </c>
      <c r="G2" t="s">
        <v>24</v>
      </c>
      <c r="H2" t="str">
        <f>VLOOKUP(G2, '3. Mercados'!$A$2:$D$7, 2, FALSE())</f>
        <v>Centroamérica</v>
      </c>
      <c r="I2">
        <f>VLOOKUP(G2, '3. Mercados'!$A$2:$D$7, 3, FALSE())</f>
        <v>0.03</v>
      </c>
      <c r="J2" t="str">
        <f>VLOOKUP(G2, '3. Mercados'!$A$2:$D$7, 4, FALSE())</f>
        <v>Estratégico</v>
      </c>
      <c r="K2">
        <v>850</v>
      </c>
      <c r="L2">
        <v>4.8</v>
      </c>
      <c r="M2">
        <v>3.2</v>
      </c>
      <c r="N2">
        <f t="shared" ref="N2:N33" si="0">K2*L2</f>
        <v>4080</v>
      </c>
      <c r="O2">
        <f t="shared" ref="O2:O33" si="1">K2*M2</f>
        <v>2720</v>
      </c>
      <c r="P2">
        <f t="shared" ref="P2:P33" si="2">N2-O2</f>
        <v>1360</v>
      </c>
      <c r="Q2">
        <f t="shared" ref="Q2:Q33" si="3">P2/N2</f>
        <v>0.33333333333333331</v>
      </c>
      <c r="R2" t="str">
        <f t="shared" ref="R2:R33" si="4">IF(Q2&gt;=0.3, "Alta", IF(Q2&gt;=0.15, "Media", "Baja"))</f>
        <v>Alta</v>
      </c>
      <c r="S2" t="str">
        <f t="shared" ref="S2:S33" si="5">IF(N2&gt;=10000, "Grande", IF(N2&gt;=5000, "Mediana", "Pequeña"))</f>
        <v>Pequeña</v>
      </c>
      <c r="T2" t="str">
        <f t="shared" ref="T2:T33" si="6">IF(AND(J2="Estratégico", Q2&gt;=0.3), "Alta", IF(AND(J2="Estratégico", Q2&lt;0.3), "Media", IF(AND(J2="Potencial", Q2&gt;=0.3), "Media", "Baja")))</f>
        <v>Alta</v>
      </c>
      <c r="U2" t="s">
        <v>25</v>
      </c>
    </row>
    <row r="3" spans="1:21" x14ac:dyDescent="0.35">
      <c r="A3" t="s">
        <v>26</v>
      </c>
      <c r="B3" s="1">
        <v>46034</v>
      </c>
      <c r="C3" t="s">
        <v>27</v>
      </c>
      <c r="D3" t="s">
        <v>28</v>
      </c>
      <c r="E3" t="str">
        <f>VLOOKUP(D3, '2. Productos'!$A$3:$D$7, 2, FALSE())</f>
        <v>Café especial</v>
      </c>
      <c r="F3" t="str">
        <f>VLOOKUP(D3, '2. Productos'!$A$3:$D$7, 3, FALSE())</f>
        <v>Café</v>
      </c>
      <c r="G3" t="s">
        <v>29</v>
      </c>
      <c r="H3" t="str">
        <f>VLOOKUP(G3, '3. Mercados'!$A$2:$D$7, 2, FALSE())</f>
        <v>Norteamérica</v>
      </c>
      <c r="I3">
        <f>VLOOKUP(G3, '3. Mercados'!$A$2:$D$7, 3, FALSE())</f>
        <v>0.05</v>
      </c>
      <c r="J3" t="str">
        <f>VLOOKUP(G3, '3. Mercados'!$A$2:$D$7, 4, FALSE())</f>
        <v>Estratégico</v>
      </c>
      <c r="K3">
        <v>1200</v>
      </c>
      <c r="L3">
        <v>6.5</v>
      </c>
      <c r="M3">
        <v>4.0999999999999996</v>
      </c>
      <c r="N3">
        <f t="shared" si="0"/>
        <v>7800</v>
      </c>
      <c r="O3">
        <f t="shared" si="1"/>
        <v>4920</v>
      </c>
      <c r="P3">
        <f t="shared" si="2"/>
        <v>2880</v>
      </c>
      <c r="Q3">
        <f t="shared" si="3"/>
        <v>0.36923076923076925</v>
      </c>
      <c r="R3" t="str">
        <f t="shared" si="4"/>
        <v>Alta</v>
      </c>
      <c r="S3" t="str">
        <f t="shared" si="5"/>
        <v>Mediana</v>
      </c>
      <c r="T3" t="str">
        <f t="shared" si="6"/>
        <v>Alta</v>
      </c>
      <c r="U3" t="s">
        <v>30</v>
      </c>
    </row>
    <row r="4" spans="1:21" x14ac:dyDescent="0.35">
      <c r="A4" t="s">
        <v>31</v>
      </c>
      <c r="B4" s="1">
        <v>46042</v>
      </c>
      <c r="C4" t="s">
        <v>32</v>
      </c>
      <c r="D4" t="s">
        <v>33</v>
      </c>
      <c r="E4" t="str">
        <f>VLOOKUP(D4, '2. Productos'!$A$3:$D$7, 2, FALSE())</f>
        <v>Maní procesado</v>
      </c>
      <c r="F4" t="str">
        <f>VLOOKUP(D4, '2. Productos'!$A$3:$D$7, 3, FALSE())</f>
        <v>Semillas</v>
      </c>
      <c r="G4" t="s">
        <v>34</v>
      </c>
      <c r="H4" t="str">
        <f>VLOOKUP(G4, '3. Mercados'!$A$2:$D$7, 2, FALSE())</f>
        <v>Centroamérica</v>
      </c>
      <c r="I4">
        <f>VLOOKUP(G4, '3. Mercados'!$A$2:$D$7, 3, FALSE())</f>
        <v>0.02</v>
      </c>
      <c r="J4" t="str">
        <f>VLOOKUP(G4, '3. Mercados'!$A$2:$D$7, 4, FALSE())</f>
        <v>Estratégico</v>
      </c>
      <c r="K4">
        <v>650</v>
      </c>
      <c r="L4">
        <v>8.1999999999999993</v>
      </c>
      <c r="M4">
        <v>5.9</v>
      </c>
      <c r="N4">
        <f t="shared" si="0"/>
        <v>5329.9999999999991</v>
      </c>
      <c r="O4">
        <f t="shared" si="1"/>
        <v>3835.0000000000005</v>
      </c>
      <c r="P4">
        <f t="shared" si="2"/>
        <v>1494.9999999999986</v>
      </c>
      <c r="Q4">
        <f t="shared" si="3"/>
        <v>0.28048780487804859</v>
      </c>
      <c r="R4" t="str">
        <f t="shared" si="4"/>
        <v>Media</v>
      </c>
      <c r="S4" t="str">
        <f t="shared" si="5"/>
        <v>Mediana</v>
      </c>
      <c r="T4" t="str">
        <f t="shared" si="6"/>
        <v>Media</v>
      </c>
      <c r="U4" t="s">
        <v>25</v>
      </c>
    </row>
    <row r="5" spans="1:21" x14ac:dyDescent="0.35">
      <c r="A5" t="s">
        <v>35</v>
      </c>
      <c r="B5" s="1">
        <v>46056</v>
      </c>
      <c r="C5" t="s">
        <v>36</v>
      </c>
      <c r="D5" t="s">
        <v>37</v>
      </c>
      <c r="E5" t="str">
        <f>VLOOKUP(D5, '2. Productos'!$A$3:$D$7, 2, FALSE())</f>
        <v>Cacao en grano</v>
      </c>
      <c r="F5" t="str">
        <f>VLOOKUP(D5, '2. Productos'!$A$3:$D$7, 3, FALSE())</f>
        <v>Cacao</v>
      </c>
      <c r="G5" t="s">
        <v>38</v>
      </c>
      <c r="H5" t="str">
        <f>VLOOKUP(G5, '3. Mercados'!$A$2:$D$7, 2, FALSE())</f>
        <v>Europa</v>
      </c>
      <c r="I5">
        <f>VLOOKUP(G5, '3. Mercados'!$A$2:$D$7, 3, FALSE())</f>
        <v>0.1</v>
      </c>
      <c r="J5" t="str">
        <f>VLOOKUP(G5, '3. Mercados'!$A$2:$D$7, 4, FALSE())</f>
        <v>Potencial</v>
      </c>
      <c r="K5">
        <v>950</v>
      </c>
      <c r="L5">
        <v>7.1</v>
      </c>
      <c r="M5">
        <v>4.8</v>
      </c>
      <c r="N5">
        <f t="shared" si="0"/>
        <v>6745</v>
      </c>
      <c r="O5">
        <f t="shared" si="1"/>
        <v>4560</v>
      </c>
      <c r="P5">
        <f t="shared" si="2"/>
        <v>2185</v>
      </c>
      <c r="Q5">
        <f t="shared" si="3"/>
        <v>0.323943661971831</v>
      </c>
      <c r="R5" t="str">
        <f t="shared" si="4"/>
        <v>Alta</v>
      </c>
      <c r="S5" t="str">
        <f t="shared" si="5"/>
        <v>Mediana</v>
      </c>
      <c r="T5" t="str">
        <f t="shared" si="6"/>
        <v>Media</v>
      </c>
      <c r="U5" t="s">
        <v>39</v>
      </c>
    </row>
    <row r="6" spans="1:21" x14ac:dyDescent="0.35">
      <c r="A6" t="s">
        <v>40</v>
      </c>
      <c r="B6" s="1">
        <v>46068</v>
      </c>
      <c r="C6" t="s">
        <v>41</v>
      </c>
      <c r="D6" t="s">
        <v>42</v>
      </c>
      <c r="E6" t="str">
        <f>VLOOKUP(D6, '2. Productos'!$A$3:$D$7, 2, FALSE())</f>
        <v>Aceite de ajonjolí</v>
      </c>
      <c r="F6" t="str">
        <f>VLOOKUP(D6, '2. Productos'!$A$3:$D$7, 3, FALSE())</f>
        <v>Aceites</v>
      </c>
      <c r="G6" t="s">
        <v>43</v>
      </c>
      <c r="H6" t="str">
        <f>VLOOKUP(G6, '3. Mercados'!$A$2:$D$7, 2, FALSE())</f>
        <v>Norteamérica</v>
      </c>
      <c r="I6">
        <f>VLOOKUP(G6, '3. Mercados'!$A$2:$D$7, 3, FALSE())</f>
        <v>0.08</v>
      </c>
      <c r="J6" t="str">
        <f>VLOOKUP(G6, '3. Mercados'!$A$2:$D$7, 4, FALSE())</f>
        <v>Potencial</v>
      </c>
      <c r="K6">
        <v>500</v>
      </c>
      <c r="L6">
        <v>12.5</v>
      </c>
      <c r="M6">
        <v>8.6999999999999993</v>
      </c>
      <c r="N6">
        <f t="shared" si="0"/>
        <v>6250</v>
      </c>
      <c r="O6">
        <f t="shared" si="1"/>
        <v>4350</v>
      </c>
      <c r="P6">
        <f t="shared" si="2"/>
        <v>1900</v>
      </c>
      <c r="Q6">
        <f t="shared" si="3"/>
        <v>0.30399999999999999</v>
      </c>
      <c r="R6" t="str">
        <f t="shared" si="4"/>
        <v>Alta</v>
      </c>
      <c r="S6" t="str">
        <f t="shared" si="5"/>
        <v>Mediana</v>
      </c>
      <c r="T6" t="str">
        <f t="shared" si="6"/>
        <v>Media</v>
      </c>
      <c r="U6" t="s">
        <v>30</v>
      </c>
    </row>
    <row r="7" spans="1:21" x14ac:dyDescent="0.35">
      <c r="A7" t="s">
        <v>44</v>
      </c>
      <c r="B7" s="1">
        <v>46081</v>
      </c>
      <c r="C7" t="s">
        <v>27</v>
      </c>
      <c r="D7" t="s">
        <v>23</v>
      </c>
      <c r="E7" t="str">
        <f>VLOOKUP(D7, '2. Productos'!$A$3:$D$7, 2, FALSE())</f>
        <v>Miel natural</v>
      </c>
      <c r="F7" t="str">
        <f>VLOOKUP(D7, '2. Productos'!$A$3:$D$7, 3, FALSE())</f>
        <v>Apícola</v>
      </c>
      <c r="G7" t="s">
        <v>29</v>
      </c>
      <c r="H7" t="str">
        <f>VLOOKUP(G7, '3. Mercados'!$A$2:$D$7, 2, FALSE())</f>
        <v>Norteamérica</v>
      </c>
      <c r="I7">
        <f>VLOOKUP(G7, '3. Mercados'!$A$2:$D$7, 3, FALSE())</f>
        <v>0.05</v>
      </c>
      <c r="J7" t="str">
        <f>VLOOKUP(G7, '3. Mercados'!$A$2:$D$7, 4, FALSE())</f>
        <v>Estratégico</v>
      </c>
      <c r="K7">
        <v>1400</v>
      </c>
      <c r="L7">
        <v>4.8</v>
      </c>
      <c r="M7">
        <v>3.2</v>
      </c>
      <c r="N7">
        <f t="shared" si="0"/>
        <v>6720</v>
      </c>
      <c r="O7">
        <f t="shared" si="1"/>
        <v>4480</v>
      </c>
      <c r="P7">
        <f t="shared" si="2"/>
        <v>2240</v>
      </c>
      <c r="Q7">
        <f t="shared" si="3"/>
        <v>0.33333333333333331</v>
      </c>
      <c r="R7" t="str">
        <f t="shared" si="4"/>
        <v>Alta</v>
      </c>
      <c r="S7" t="str">
        <f t="shared" si="5"/>
        <v>Mediana</v>
      </c>
      <c r="T7" t="str">
        <f t="shared" si="6"/>
        <v>Alta</v>
      </c>
      <c r="U7" t="s">
        <v>30</v>
      </c>
    </row>
    <row r="8" spans="1:21" x14ac:dyDescent="0.35">
      <c r="A8" t="s">
        <v>45</v>
      </c>
      <c r="B8" s="1">
        <v>46089</v>
      </c>
      <c r="C8" t="s">
        <v>32</v>
      </c>
      <c r="D8" t="s">
        <v>28</v>
      </c>
      <c r="E8" t="str">
        <f>VLOOKUP(D8, '2. Productos'!$A$3:$D$7, 2, FALSE())</f>
        <v>Café especial</v>
      </c>
      <c r="F8" t="str">
        <f>VLOOKUP(D8, '2. Productos'!$A$3:$D$7, 3, FALSE())</f>
        <v>Café</v>
      </c>
      <c r="G8" t="s">
        <v>34</v>
      </c>
      <c r="H8" t="str">
        <f>VLOOKUP(G8, '3. Mercados'!$A$2:$D$7, 2, FALSE())</f>
        <v>Centroamérica</v>
      </c>
      <c r="I8">
        <f>VLOOKUP(G8, '3. Mercados'!$A$2:$D$7, 3, FALSE())</f>
        <v>0.02</v>
      </c>
      <c r="J8" t="str">
        <f>VLOOKUP(G8, '3. Mercados'!$A$2:$D$7, 4, FALSE())</f>
        <v>Estratégico</v>
      </c>
      <c r="K8">
        <v>900</v>
      </c>
      <c r="L8">
        <v>6.5</v>
      </c>
      <c r="M8">
        <v>4.0999999999999996</v>
      </c>
      <c r="N8">
        <f t="shared" si="0"/>
        <v>5850</v>
      </c>
      <c r="O8">
        <f t="shared" si="1"/>
        <v>3689.9999999999995</v>
      </c>
      <c r="P8">
        <f t="shared" si="2"/>
        <v>2160.0000000000005</v>
      </c>
      <c r="Q8">
        <f t="shared" si="3"/>
        <v>0.36923076923076931</v>
      </c>
      <c r="R8" t="str">
        <f t="shared" si="4"/>
        <v>Alta</v>
      </c>
      <c r="S8" t="str">
        <f t="shared" si="5"/>
        <v>Mediana</v>
      </c>
      <c r="T8" t="str">
        <f t="shared" si="6"/>
        <v>Alta</v>
      </c>
      <c r="U8" t="s">
        <v>25</v>
      </c>
    </row>
    <row r="9" spans="1:21" x14ac:dyDescent="0.35">
      <c r="A9" t="s">
        <v>46</v>
      </c>
      <c r="B9" s="1">
        <v>46099</v>
      </c>
      <c r="C9" t="s">
        <v>22</v>
      </c>
      <c r="D9" t="s">
        <v>33</v>
      </c>
      <c r="E9" t="str">
        <f>VLOOKUP(D9, '2. Productos'!$A$3:$D$7, 2, FALSE())</f>
        <v>Maní procesado</v>
      </c>
      <c r="F9" t="str">
        <f>VLOOKUP(D9, '2. Productos'!$A$3:$D$7, 3, FALSE())</f>
        <v>Semillas</v>
      </c>
      <c r="G9" t="s">
        <v>24</v>
      </c>
      <c r="H9" t="str">
        <f>VLOOKUP(G9, '3. Mercados'!$A$2:$D$7, 2, FALSE())</f>
        <v>Centroamérica</v>
      </c>
      <c r="I9">
        <f>VLOOKUP(G9, '3. Mercados'!$A$2:$D$7, 3, FALSE())</f>
        <v>0.03</v>
      </c>
      <c r="J9" t="str">
        <f>VLOOKUP(G9, '3. Mercados'!$A$2:$D$7, 4, FALSE())</f>
        <v>Estratégico</v>
      </c>
      <c r="K9">
        <v>750</v>
      </c>
      <c r="L9">
        <v>8.1999999999999993</v>
      </c>
      <c r="M9">
        <v>5.9</v>
      </c>
      <c r="N9">
        <f t="shared" si="0"/>
        <v>6149.9999999999991</v>
      </c>
      <c r="O9">
        <f t="shared" si="1"/>
        <v>4425</v>
      </c>
      <c r="P9">
        <f t="shared" si="2"/>
        <v>1724.9999999999991</v>
      </c>
      <c r="Q9">
        <f t="shared" si="3"/>
        <v>0.2804878048780487</v>
      </c>
      <c r="R9" t="str">
        <f t="shared" si="4"/>
        <v>Media</v>
      </c>
      <c r="S9" t="str">
        <f t="shared" si="5"/>
        <v>Mediana</v>
      </c>
      <c r="T9" t="str">
        <f t="shared" si="6"/>
        <v>Media</v>
      </c>
      <c r="U9" t="s">
        <v>30</v>
      </c>
    </row>
    <row r="10" spans="1:21" x14ac:dyDescent="0.35">
      <c r="A10" t="s">
        <v>47</v>
      </c>
      <c r="B10" s="1">
        <v>46106</v>
      </c>
      <c r="C10" t="s">
        <v>36</v>
      </c>
      <c r="D10" t="s">
        <v>42</v>
      </c>
      <c r="E10" t="str">
        <f>VLOOKUP(D10, '2. Productos'!$A$3:$D$7, 2, FALSE())</f>
        <v>Aceite de ajonjolí</v>
      </c>
      <c r="F10" t="str">
        <f>VLOOKUP(D10, '2. Productos'!$A$3:$D$7, 3, FALSE())</f>
        <v>Aceites</v>
      </c>
      <c r="G10" t="s">
        <v>38</v>
      </c>
      <c r="H10" t="str">
        <f>VLOOKUP(G10, '3. Mercados'!$A$2:$D$7, 2, FALSE())</f>
        <v>Europa</v>
      </c>
      <c r="I10">
        <f>VLOOKUP(G10, '3. Mercados'!$A$2:$D$7, 3, FALSE())</f>
        <v>0.1</v>
      </c>
      <c r="J10" t="str">
        <f>VLOOKUP(G10, '3. Mercados'!$A$2:$D$7, 4, FALSE())</f>
        <v>Potencial</v>
      </c>
      <c r="K10">
        <v>600</v>
      </c>
      <c r="L10">
        <v>12.5</v>
      </c>
      <c r="M10">
        <v>8.6999999999999993</v>
      </c>
      <c r="N10">
        <f t="shared" si="0"/>
        <v>7500</v>
      </c>
      <c r="O10">
        <f t="shared" si="1"/>
        <v>5220</v>
      </c>
      <c r="P10">
        <f t="shared" si="2"/>
        <v>2280</v>
      </c>
      <c r="Q10">
        <f t="shared" si="3"/>
        <v>0.30399999999999999</v>
      </c>
      <c r="R10" t="str">
        <f t="shared" si="4"/>
        <v>Alta</v>
      </c>
      <c r="S10" t="str">
        <f t="shared" si="5"/>
        <v>Mediana</v>
      </c>
      <c r="T10" t="str">
        <f t="shared" si="6"/>
        <v>Media</v>
      </c>
      <c r="U10" t="s">
        <v>25</v>
      </c>
    </row>
    <row r="11" spans="1:21" x14ac:dyDescent="0.35">
      <c r="A11" t="s">
        <v>48</v>
      </c>
      <c r="B11" s="1">
        <v>46114</v>
      </c>
      <c r="C11" t="s">
        <v>41</v>
      </c>
      <c r="D11" t="s">
        <v>37</v>
      </c>
      <c r="E11" t="str">
        <f>VLOOKUP(D11, '2. Productos'!$A$3:$D$7, 2, FALSE())</f>
        <v>Cacao en grano</v>
      </c>
      <c r="F11" t="str">
        <f>VLOOKUP(D11, '2. Productos'!$A$3:$D$7, 3, FALSE())</f>
        <v>Cacao</v>
      </c>
      <c r="G11" t="s">
        <v>43</v>
      </c>
      <c r="H11" t="str">
        <f>VLOOKUP(G11, '3. Mercados'!$A$2:$D$7, 2, FALSE())</f>
        <v>Norteamérica</v>
      </c>
      <c r="I11">
        <f>VLOOKUP(G11, '3. Mercados'!$A$2:$D$7, 3, FALSE())</f>
        <v>0.08</v>
      </c>
      <c r="J11" t="str">
        <f>VLOOKUP(G11, '3. Mercados'!$A$2:$D$7, 4, FALSE())</f>
        <v>Potencial</v>
      </c>
      <c r="K11">
        <v>1100</v>
      </c>
      <c r="L11">
        <v>7.1</v>
      </c>
      <c r="M11">
        <v>4.8</v>
      </c>
      <c r="N11">
        <f t="shared" si="0"/>
        <v>7810</v>
      </c>
      <c r="O11">
        <f t="shared" si="1"/>
        <v>5280</v>
      </c>
      <c r="P11">
        <f t="shared" si="2"/>
        <v>2530</v>
      </c>
      <c r="Q11">
        <f t="shared" si="3"/>
        <v>0.323943661971831</v>
      </c>
      <c r="R11" t="str">
        <f t="shared" si="4"/>
        <v>Alta</v>
      </c>
      <c r="S11" t="str">
        <f t="shared" si="5"/>
        <v>Mediana</v>
      </c>
      <c r="T11" t="str">
        <f t="shared" si="6"/>
        <v>Media</v>
      </c>
      <c r="U11" t="s">
        <v>30</v>
      </c>
    </row>
    <row r="12" spans="1:21" x14ac:dyDescent="0.35">
      <c r="A12" t="s">
        <v>49</v>
      </c>
      <c r="B12" s="1">
        <v>46122</v>
      </c>
      <c r="C12" t="s">
        <v>27</v>
      </c>
      <c r="D12" t="s">
        <v>33</v>
      </c>
      <c r="E12" t="str">
        <f>VLOOKUP(D12, '2. Productos'!$A$3:$D$7, 2, FALSE())</f>
        <v>Maní procesado</v>
      </c>
      <c r="F12" t="str">
        <f>VLOOKUP(D12, '2. Productos'!$A$3:$D$7, 3, FALSE())</f>
        <v>Semillas</v>
      </c>
      <c r="G12" t="s">
        <v>29</v>
      </c>
      <c r="H12" t="str">
        <f>VLOOKUP(G12, '3. Mercados'!$A$2:$D$7, 2, FALSE())</f>
        <v>Norteamérica</v>
      </c>
      <c r="I12">
        <f>VLOOKUP(G12, '3. Mercados'!$A$2:$D$7, 3, FALSE())</f>
        <v>0.05</v>
      </c>
      <c r="J12" t="str">
        <f>VLOOKUP(G12, '3. Mercados'!$A$2:$D$7, 4, FALSE())</f>
        <v>Estratégico</v>
      </c>
      <c r="K12">
        <v>1300</v>
      </c>
      <c r="L12">
        <v>8.1999999999999993</v>
      </c>
      <c r="M12">
        <v>5.9</v>
      </c>
      <c r="N12">
        <f t="shared" si="0"/>
        <v>10659.999999999998</v>
      </c>
      <c r="O12">
        <f t="shared" si="1"/>
        <v>7670.0000000000009</v>
      </c>
      <c r="P12">
        <f t="shared" si="2"/>
        <v>2989.9999999999973</v>
      </c>
      <c r="Q12">
        <f t="shared" si="3"/>
        <v>0.28048780487804859</v>
      </c>
      <c r="R12" t="str">
        <f t="shared" si="4"/>
        <v>Media</v>
      </c>
      <c r="S12" t="str">
        <f t="shared" si="5"/>
        <v>Grande</v>
      </c>
      <c r="T12" t="str">
        <f t="shared" si="6"/>
        <v>Media</v>
      </c>
      <c r="U12" t="s">
        <v>30</v>
      </c>
    </row>
    <row r="13" spans="1:21" x14ac:dyDescent="0.35">
      <c r="A13" t="s">
        <v>50</v>
      </c>
      <c r="B13" s="1">
        <v>46130</v>
      </c>
      <c r="C13" t="s">
        <v>22</v>
      </c>
      <c r="D13" t="s">
        <v>28</v>
      </c>
      <c r="E13" t="str">
        <f>VLOOKUP(D13, '2. Productos'!$A$3:$D$7, 2, FALSE())</f>
        <v>Café especial</v>
      </c>
      <c r="F13" t="str">
        <f>VLOOKUP(D13, '2. Productos'!$A$3:$D$7, 3, FALSE())</f>
        <v>Café</v>
      </c>
      <c r="G13" t="s">
        <v>24</v>
      </c>
      <c r="H13" t="str">
        <f>VLOOKUP(G13, '3. Mercados'!$A$2:$D$7, 2, FALSE())</f>
        <v>Centroamérica</v>
      </c>
      <c r="I13">
        <f>VLOOKUP(G13, '3. Mercados'!$A$2:$D$7, 3, FALSE())</f>
        <v>0.03</v>
      </c>
      <c r="J13" t="str">
        <f>VLOOKUP(G13, '3. Mercados'!$A$2:$D$7, 4, FALSE())</f>
        <v>Estratégico</v>
      </c>
      <c r="K13">
        <v>700</v>
      </c>
      <c r="L13">
        <v>6.5</v>
      </c>
      <c r="M13">
        <v>4.0999999999999996</v>
      </c>
      <c r="N13">
        <f t="shared" si="0"/>
        <v>4550</v>
      </c>
      <c r="O13">
        <f t="shared" si="1"/>
        <v>2869.9999999999995</v>
      </c>
      <c r="P13">
        <f t="shared" si="2"/>
        <v>1680.0000000000005</v>
      </c>
      <c r="Q13">
        <f t="shared" si="3"/>
        <v>0.36923076923076931</v>
      </c>
      <c r="R13" t="str">
        <f t="shared" si="4"/>
        <v>Alta</v>
      </c>
      <c r="S13" t="str">
        <f t="shared" si="5"/>
        <v>Pequeña</v>
      </c>
      <c r="T13" t="str">
        <f t="shared" si="6"/>
        <v>Alta</v>
      </c>
      <c r="U13" t="s">
        <v>39</v>
      </c>
    </row>
    <row r="14" spans="1:21" x14ac:dyDescent="0.35">
      <c r="A14" t="s">
        <v>51</v>
      </c>
      <c r="B14" s="1">
        <v>46139</v>
      </c>
      <c r="C14" t="s">
        <v>32</v>
      </c>
      <c r="D14" t="s">
        <v>42</v>
      </c>
      <c r="E14" t="str">
        <f>VLOOKUP(D14, '2. Productos'!$A$3:$D$7, 2, FALSE())</f>
        <v>Aceite de ajonjolí</v>
      </c>
      <c r="F14" t="str">
        <f>VLOOKUP(D14, '2. Productos'!$A$3:$D$7, 3, FALSE())</f>
        <v>Aceites</v>
      </c>
      <c r="G14" t="s">
        <v>34</v>
      </c>
      <c r="H14" t="str">
        <f>VLOOKUP(G14, '3. Mercados'!$A$2:$D$7, 2, FALSE())</f>
        <v>Centroamérica</v>
      </c>
      <c r="I14">
        <f>VLOOKUP(G14, '3. Mercados'!$A$2:$D$7, 3, FALSE())</f>
        <v>0.02</v>
      </c>
      <c r="J14" t="str">
        <f>VLOOKUP(G14, '3. Mercados'!$A$2:$D$7, 4, FALSE())</f>
        <v>Estratégico</v>
      </c>
      <c r="K14">
        <v>450</v>
      </c>
      <c r="L14">
        <v>12.5</v>
      </c>
      <c r="M14">
        <v>8.6999999999999993</v>
      </c>
      <c r="N14">
        <f t="shared" si="0"/>
        <v>5625</v>
      </c>
      <c r="O14">
        <f t="shared" si="1"/>
        <v>3914.9999999999995</v>
      </c>
      <c r="P14">
        <f t="shared" si="2"/>
        <v>1710.0000000000005</v>
      </c>
      <c r="Q14">
        <f t="shared" si="3"/>
        <v>0.3040000000000001</v>
      </c>
      <c r="R14" t="str">
        <f t="shared" si="4"/>
        <v>Alta</v>
      </c>
      <c r="S14" t="str">
        <f t="shared" si="5"/>
        <v>Mediana</v>
      </c>
      <c r="T14" t="str">
        <f t="shared" si="6"/>
        <v>Alta</v>
      </c>
      <c r="U14" t="s">
        <v>25</v>
      </c>
    </row>
    <row r="15" spans="1:21" x14ac:dyDescent="0.35">
      <c r="A15" t="s">
        <v>52</v>
      </c>
      <c r="B15" s="1">
        <v>46147</v>
      </c>
      <c r="C15" t="s">
        <v>36</v>
      </c>
      <c r="D15" t="s">
        <v>23</v>
      </c>
      <c r="E15" t="str">
        <f>VLOOKUP(D15, '2. Productos'!$A$3:$D$7, 2, FALSE())</f>
        <v>Miel natural</v>
      </c>
      <c r="F15" t="str">
        <f>VLOOKUP(D15, '2. Productos'!$A$3:$D$7, 3, FALSE())</f>
        <v>Apícola</v>
      </c>
      <c r="G15" t="s">
        <v>38</v>
      </c>
      <c r="H15" t="str">
        <f>VLOOKUP(G15, '3. Mercados'!$A$2:$D$7, 2, FALSE())</f>
        <v>Europa</v>
      </c>
      <c r="I15">
        <f>VLOOKUP(G15, '3. Mercados'!$A$2:$D$7, 3, FALSE())</f>
        <v>0.1</v>
      </c>
      <c r="J15" t="str">
        <f>VLOOKUP(G15, '3. Mercados'!$A$2:$D$7, 4, FALSE())</f>
        <v>Potencial</v>
      </c>
      <c r="K15">
        <v>1000</v>
      </c>
      <c r="L15">
        <v>4.8</v>
      </c>
      <c r="M15">
        <v>3.2</v>
      </c>
      <c r="N15">
        <f t="shared" si="0"/>
        <v>4800</v>
      </c>
      <c r="O15">
        <f t="shared" si="1"/>
        <v>3200</v>
      </c>
      <c r="P15">
        <f t="shared" si="2"/>
        <v>1600</v>
      </c>
      <c r="Q15">
        <f t="shared" si="3"/>
        <v>0.33333333333333331</v>
      </c>
      <c r="R15" t="str">
        <f t="shared" si="4"/>
        <v>Alta</v>
      </c>
      <c r="S15" t="str">
        <f t="shared" si="5"/>
        <v>Pequeña</v>
      </c>
      <c r="T15" t="str">
        <f t="shared" si="6"/>
        <v>Media</v>
      </c>
      <c r="U15" t="s">
        <v>30</v>
      </c>
    </row>
    <row r="16" spans="1:21" x14ac:dyDescent="0.35">
      <c r="A16" t="s">
        <v>53</v>
      </c>
      <c r="B16" s="1">
        <v>46156</v>
      </c>
      <c r="C16" t="s">
        <v>41</v>
      </c>
      <c r="D16" t="s">
        <v>28</v>
      </c>
      <c r="E16" t="str">
        <f>VLOOKUP(D16, '2. Productos'!$A$3:$D$7, 2, FALSE())</f>
        <v>Café especial</v>
      </c>
      <c r="F16" t="str">
        <f>VLOOKUP(D16, '2. Productos'!$A$3:$D$7, 3, FALSE())</f>
        <v>Café</v>
      </c>
      <c r="G16" t="s">
        <v>43</v>
      </c>
      <c r="H16" t="str">
        <f>VLOOKUP(G16, '3. Mercados'!$A$2:$D$7, 2, FALSE())</f>
        <v>Norteamérica</v>
      </c>
      <c r="I16">
        <f>VLOOKUP(G16, '3. Mercados'!$A$2:$D$7, 3, FALSE())</f>
        <v>0.08</v>
      </c>
      <c r="J16" t="str">
        <f>VLOOKUP(G16, '3. Mercados'!$A$2:$D$7, 4, FALSE())</f>
        <v>Potencial</v>
      </c>
      <c r="K16">
        <v>850</v>
      </c>
      <c r="L16">
        <v>6.5</v>
      </c>
      <c r="M16">
        <v>4.0999999999999996</v>
      </c>
      <c r="N16">
        <f t="shared" si="0"/>
        <v>5525</v>
      </c>
      <c r="O16">
        <f t="shared" si="1"/>
        <v>3484.9999999999995</v>
      </c>
      <c r="P16">
        <f t="shared" si="2"/>
        <v>2040.0000000000005</v>
      </c>
      <c r="Q16">
        <f t="shared" si="3"/>
        <v>0.36923076923076931</v>
      </c>
      <c r="R16" t="str">
        <f t="shared" si="4"/>
        <v>Alta</v>
      </c>
      <c r="S16" t="str">
        <f t="shared" si="5"/>
        <v>Mediana</v>
      </c>
      <c r="T16" t="str">
        <f t="shared" si="6"/>
        <v>Media</v>
      </c>
      <c r="U16" t="s">
        <v>25</v>
      </c>
    </row>
    <row r="17" spans="1:21" x14ac:dyDescent="0.35">
      <c r="A17" t="s">
        <v>54</v>
      </c>
      <c r="B17" s="1">
        <v>46164</v>
      </c>
      <c r="C17" t="s">
        <v>27</v>
      </c>
      <c r="D17" t="s">
        <v>37</v>
      </c>
      <c r="E17" t="str">
        <f>VLOOKUP(D17, '2. Productos'!$A$3:$D$7, 2, FALSE())</f>
        <v>Cacao en grano</v>
      </c>
      <c r="F17" t="str">
        <f>VLOOKUP(D17, '2. Productos'!$A$3:$D$7, 3, FALSE())</f>
        <v>Cacao</v>
      </c>
      <c r="G17" t="s">
        <v>29</v>
      </c>
      <c r="H17" t="str">
        <f>VLOOKUP(G17, '3. Mercados'!$A$2:$D$7, 2, FALSE())</f>
        <v>Norteamérica</v>
      </c>
      <c r="I17">
        <f>VLOOKUP(G17, '3. Mercados'!$A$2:$D$7, 3, FALSE())</f>
        <v>0.05</v>
      </c>
      <c r="J17" t="str">
        <f>VLOOKUP(G17, '3. Mercados'!$A$2:$D$7, 4, FALSE())</f>
        <v>Estratégico</v>
      </c>
      <c r="K17">
        <v>1250</v>
      </c>
      <c r="L17">
        <v>7.1</v>
      </c>
      <c r="M17">
        <v>4.8</v>
      </c>
      <c r="N17">
        <f t="shared" si="0"/>
        <v>8875</v>
      </c>
      <c r="O17">
        <f t="shared" si="1"/>
        <v>6000</v>
      </c>
      <c r="P17">
        <f t="shared" si="2"/>
        <v>2875</v>
      </c>
      <c r="Q17">
        <f t="shared" si="3"/>
        <v>0.323943661971831</v>
      </c>
      <c r="R17" t="str">
        <f t="shared" si="4"/>
        <v>Alta</v>
      </c>
      <c r="S17" t="str">
        <f t="shared" si="5"/>
        <v>Mediana</v>
      </c>
      <c r="T17" t="str">
        <f t="shared" si="6"/>
        <v>Alta</v>
      </c>
      <c r="U17" t="s">
        <v>30</v>
      </c>
    </row>
    <row r="18" spans="1:21" x14ac:dyDescent="0.35">
      <c r="A18" t="s">
        <v>55</v>
      </c>
      <c r="B18" s="1">
        <v>46172</v>
      </c>
      <c r="C18" t="s">
        <v>22</v>
      </c>
      <c r="D18" t="s">
        <v>42</v>
      </c>
      <c r="E18" t="str">
        <f>VLOOKUP(D18, '2. Productos'!$A$3:$D$7, 2, FALSE())</f>
        <v>Aceite de ajonjolí</v>
      </c>
      <c r="F18" t="str">
        <f>VLOOKUP(D18, '2. Productos'!$A$3:$D$7, 3, FALSE())</f>
        <v>Aceites</v>
      </c>
      <c r="G18" t="s">
        <v>24</v>
      </c>
      <c r="H18" t="str">
        <f>VLOOKUP(G18, '3. Mercados'!$A$2:$D$7, 2, FALSE())</f>
        <v>Centroamérica</v>
      </c>
      <c r="I18">
        <f>VLOOKUP(G18, '3. Mercados'!$A$2:$D$7, 3, FALSE())</f>
        <v>0.03</v>
      </c>
      <c r="J18" t="str">
        <f>VLOOKUP(G18, '3. Mercados'!$A$2:$D$7, 4, FALSE())</f>
        <v>Estratégico</v>
      </c>
      <c r="K18">
        <v>550</v>
      </c>
      <c r="L18">
        <v>12.5</v>
      </c>
      <c r="M18">
        <v>8.6999999999999993</v>
      </c>
      <c r="N18">
        <f t="shared" si="0"/>
        <v>6875</v>
      </c>
      <c r="O18">
        <f t="shared" si="1"/>
        <v>4785</v>
      </c>
      <c r="P18">
        <f t="shared" si="2"/>
        <v>2090</v>
      </c>
      <c r="Q18">
        <f t="shared" si="3"/>
        <v>0.30399999999999999</v>
      </c>
      <c r="R18" t="str">
        <f t="shared" si="4"/>
        <v>Alta</v>
      </c>
      <c r="S18" t="str">
        <f t="shared" si="5"/>
        <v>Mediana</v>
      </c>
      <c r="T18" t="str">
        <f t="shared" si="6"/>
        <v>Alta</v>
      </c>
      <c r="U18" t="s">
        <v>25</v>
      </c>
    </row>
    <row r="19" spans="1:21" x14ac:dyDescent="0.35">
      <c r="A19" t="s">
        <v>56</v>
      </c>
      <c r="B19" s="1">
        <v>46180</v>
      </c>
      <c r="C19" t="s">
        <v>32</v>
      </c>
      <c r="D19" t="s">
        <v>23</v>
      </c>
      <c r="E19" t="str">
        <f>VLOOKUP(D19, '2. Productos'!$A$3:$D$7, 2, FALSE())</f>
        <v>Miel natural</v>
      </c>
      <c r="F19" t="str">
        <f>VLOOKUP(D19, '2. Productos'!$A$3:$D$7, 3, FALSE())</f>
        <v>Apícola</v>
      </c>
      <c r="G19" t="s">
        <v>34</v>
      </c>
      <c r="H19" t="str">
        <f>VLOOKUP(G19, '3. Mercados'!$A$2:$D$7, 2, FALSE())</f>
        <v>Centroamérica</v>
      </c>
      <c r="I19">
        <f>VLOOKUP(G19, '3. Mercados'!$A$2:$D$7, 3, FALSE())</f>
        <v>0.02</v>
      </c>
      <c r="J19" t="str">
        <f>VLOOKUP(G19, '3. Mercados'!$A$2:$D$7, 4, FALSE())</f>
        <v>Estratégico</v>
      </c>
      <c r="K19">
        <v>800</v>
      </c>
      <c r="L19">
        <v>4.8</v>
      </c>
      <c r="M19">
        <v>3.2</v>
      </c>
      <c r="N19">
        <f t="shared" si="0"/>
        <v>3840</v>
      </c>
      <c r="O19">
        <f t="shared" si="1"/>
        <v>2560</v>
      </c>
      <c r="P19">
        <f t="shared" si="2"/>
        <v>1280</v>
      </c>
      <c r="Q19">
        <f t="shared" si="3"/>
        <v>0.33333333333333331</v>
      </c>
      <c r="R19" t="str">
        <f t="shared" si="4"/>
        <v>Alta</v>
      </c>
      <c r="S19" t="str">
        <f t="shared" si="5"/>
        <v>Pequeña</v>
      </c>
      <c r="T19" t="str">
        <f t="shared" si="6"/>
        <v>Alta</v>
      </c>
      <c r="U19" t="s">
        <v>30</v>
      </c>
    </row>
    <row r="20" spans="1:21" x14ac:dyDescent="0.35">
      <c r="A20" t="s">
        <v>57</v>
      </c>
      <c r="B20" s="1">
        <v>46189</v>
      </c>
      <c r="C20" t="s">
        <v>36</v>
      </c>
      <c r="D20" t="s">
        <v>33</v>
      </c>
      <c r="E20" t="str">
        <f>VLOOKUP(D20, '2. Productos'!$A$3:$D$7, 2, FALSE())</f>
        <v>Maní procesado</v>
      </c>
      <c r="F20" t="str">
        <f>VLOOKUP(D20, '2. Productos'!$A$3:$D$7, 3, FALSE())</f>
        <v>Semillas</v>
      </c>
      <c r="G20" t="s">
        <v>38</v>
      </c>
      <c r="H20" t="str">
        <f>VLOOKUP(G20, '3. Mercados'!$A$2:$D$7, 2, FALSE())</f>
        <v>Europa</v>
      </c>
      <c r="I20">
        <f>VLOOKUP(G20, '3. Mercados'!$A$2:$D$7, 3, FALSE())</f>
        <v>0.1</v>
      </c>
      <c r="J20" t="str">
        <f>VLOOKUP(G20, '3. Mercados'!$A$2:$D$7, 4, FALSE())</f>
        <v>Potencial</v>
      </c>
      <c r="K20">
        <v>900</v>
      </c>
      <c r="L20">
        <v>8.1999999999999993</v>
      </c>
      <c r="M20">
        <v>5.9</v>
      </c>
      <c r="N20">
        <f t="shared" si="0"/>
        <v>7379.9999999999991</v>
      </c>
      <c r="O20">
        <f t="shared" si="1"/>
        <v>5310</v>
      </c>
      <c r="P20">
        <f t="shared" si="2"/>
        <v>2069.9999999999991</v>
      </c>
      <c r="Q20">
        <f t="shared" si="3"/>
        <v>0.2804878048780487</v>
      </c>
      <c r="R20" t="str">
        <f t="shared" si="4"/>
        <v>Media</v>
      </c>
      <c r="S20" t="str">
        <f t="shared" si="5"/>
        <v>Mediana</v>
      </c>
      <c r="T20" t="str">
        <f t="shared" si="6"/>
        <v>Baja</v>
      </c>
      <c r="U20" t="s">
        <v>39</v>
      </c>
    </row>
    <row r="21" spans="1:21" x14ac:dyDescent="0.35">
      <c r="A21" t="s">
        <v>58</v>
      </c>
      <c r="B21" s="1">
        <v>46198</v>
      </c>
      <c r="C21" t="s">
        <v>41</v>
      </c>
      <c r="D21" t="s">
        <v>42</v>
      </c>
      <c r="E21" t="str">
        <f>VLOOKUP(D21, '2. Productos'!$A$3:$D$7, 2, FALSE())</f>
        <v>Aceite de ajonjolí</v>
      </c>
      <c r="F21" t="str">
        <f>VLOOKUP(D21, '2. Productos'!$A$3:$D$7, 3, FALSE())</f>
        <v>Aceites</v>
      </c>
      <c r="G21" t="s">
        <v>43</v>
      </c>
      <c r="H21" t="str">
        <f>VLOOKUP(G21, '3. Mercados'!$A$2:$D$7, 2, FALSE())</f>
        <v>Norteamérica</v>
      </c>
      <c r="I21">
        <f>VLOOKUP(G21, '3. Mercados'!$A$2:$D$7, 3, FALSE())</f>
        <v>0.08</v>
      </c>
      <c r="J21" t="str">
        <f>VLOOKUP(G21, '3. Mercados'!$A$2:$D$7, 4, FALSE())</f>
        <v>Potencial</v>
      </c>
      <c r="K21">
        <v>650</v>
      </c>
      <c r="L21">
        <v>12.5</v>
      </c>
      <c r="M21">
        <v>8.6999999999999993</v>
      </c>
      <c r="N21">
        <f t="shared" si="0"/>
        <v>8125</v>
      </c>
      <c r="O21">
        <f t="shared" si="1"/>
        <v>5654.9999999999991</v>
      </c>
      <c r="P21">
        <f t="shared" si="2"/>
        <v>2470.0000000000009</v>
      </c>
      <c r="Q21">
        <f t="shared" si="3"/>
        <v>0.3040000000000001</v>
      </c>
      <c r="R21" t="str">
        <f t="shared" si="4"/>
        <v>Alta</v>
      </c>
      <c r="S21" t="str">
        <f t="shared" si="5"/>
        <v>Mediana</v>
      </c>
      <c r="T21" t="str">
        <f t="shared" si="6"/>
        <v>Media</v>
      </c>
      <c r="U21" t="s">
        <v>30</v>
      </c>
    </row>
    <row r="22" spans="1:21" x14ac:dyDescent="0.35">
      <c r="A22" t="s">
        <v>59</v>
      </c>
      <c r="B22" s="1">
        <v>46206</v>
      </c>
      <c r="C22" t="s">
        <v>27</v>
      </c>
      <c r="D22" t="s">
        <v>28</v>
      </c>
      <c r="E22" t="str">
        <f>VLOOKUP(D22, '2. Productos'!$A$3:$D$7, 2, FALSE())</f>
        <v>Café especial</v>
      </c>
      <c r="F22" t="str">
        <f>VLOOKUP(D22, '2. Productos'!$A$3:$D$7, 3, FALSE())</f>
        <v>Café</v>
      </c>
      <c r="G22" t="s">
        <v>29</v>
      </c>
      <c r="H22" t="str">
        <f>VLOOKUP(G22, '3. Mercados'!$A$2:$D$7, 2, FALSE())</f>
        <v>Norteamérica</v>
      </c>
      <c r="I22">
        <f>VLOOKUP(G22, '3. Mercados'!$A$2:$D$7, 3, FALSE())</f>
        <v>0.05</v>
      </c>
      <c r="J22" t="str">
        <f>VLOOKUP(G22, '3. Mercados'!$A$2:$D$7, 4, FALSE())</f>
        <v>Estratégico</v>
      </c>
      <c r="K22">
        <v>1500</v>
      </c>
      <c r="L22">
        <v>6.5</v>
      </c>
      <c r="M22">
        <v>4.0999999999999996</v>
      </c>
      <c r="N22">
        <f t="shared" si="0"/>
        <v>9750</v>
      </c>
      <c r="O22">
        <f t="shared" si="1"/>
        <v>6149.9999999999991</v>
      </c>
      <c r="P22">
        <f t="shared" si="2"/>
        <v>3600.0000000000009</v>
      </c>
      <c r="Q22">
        <f t="shared" si="3"/>
        <v>0.36923076923076931</v>
      </c>
      <c r="R22" t="str">
        <f t="shared" si="4"/>
        <v>Alta</v>
      </c>
      <c r="S22" t="str">
        <f t="shared" si="5"/>
        <v>Mediana</v>
      </c>
      <c r="T22" t="str">
        <f t="shared" si="6"/>
        <v>Alta</v>
      </c>
      <c r="U22" t="s">
        <v>25</v>
      </c>
    </row>
    <row r="23" spans="1:21" x14ac:dyDescent="0.35">
      <c r="A23" t="s">
        <v>60</v>
      </c>
      <c r="B23" s="1">
        <v>46214</v>
      </c>
      <c r="C23" t="s">
        <v>22</v>
      </c>
      <c r="D23" t="s">
        <v>37</v>
      </c>
      <c r="E23" t="str">
        <f>VLOOKUP(D23, '2. Productos'!$A$3:$D$7, 2, FALSE())</f>
        <v>Cacao en grano</v>
      </c>
      <c r="F23" t="str">
        <f>VLOOKUP(D23, '2. Productos'!$A$3:$D$7, 3, FALSE())</f>
        <v>Cacao</v>
      </c>
      <c r="G23" t="s">
        <v>24</v>
      </c>
      <c r="H23" t="str">
        <f>VLOOKUP(G23, '3. Mercados'!$A$2:$D$7, 2, FALSE())</f>
        <v>Centroamérica</v>
      </c>
      <c r="I23">
        <f>VLOOKUP(G23, '3. Mercados'!$A$2:$D$7, 3, FALSE())</f>
        <v>0.03</v>
      </c>
      <c r="J23" t="str">
        <f>VLOOKUP(G23, '3. Mercados'!$A$2:$D$7, 4, FALSE())</f>
        <v>Estratégico</v>
      </c>
      <c r="K23">
        <v>1000</v>
      </c>
      <c r="L23">
        <v>7.1</v>
      </c>
      <c r="M23">
        <v>4.8</v>
      </c>
      <c r="N23">
        <f t="shared" si="0"/>
        <v>7100</v>
      </c>
      <c r="O23">
        <f t="shared" si="1"/>
        <v>4800</v>
      </c>
      <c r="P23">
        <f t="shared" si="2"/>
        <v>2300</v>
      </c>
      <c r="Q23">
        <f t="shared" si="3"/>
        <v>0.323943661971831</v>
      </c>
      <c r="R23" t="str">
        <f t="shared" si="4"/>
        <v>Alta</v>
      </c>
      <c r="S23" t="str">
        <f t="shared" si="5"/>
        <v>Mediana</v>
      </c>
      <c r="T23" t="str">
        <f t="shared" si="6"/>
        <v>Alta</v>
      </c>
      <c r="U23" t="s">
        <v>30</v>
      </c>
    </row>
    <row r="24" spans="1:21" x14ac:dyDescent="0.35">
      <c r="A24" t="s">
        <v>61</v>
      </c>
      <c r="B24" s="1">
        <v>46222</v>
      </c>
      <c r="C24" t="s">
        <v>32</v>
      </c>
      <c r="D24" t="s">
        <v>33</v>
      </c>
      <c r="E24" t="str">
        <f>VLOOKUP(D24, '2. Productos'!$A$3:$D$7, 2, FALSE())</f>
        <v>Maní procesado</v>
      </c>
      <c r="F24" t="str">
        <f>VLOOKUP(D24, '2. Productos'!$A$3:$D$7, 3, FALSE())</f>
        <v>Semillas</v>
      </c>
      <c r="G24" t="s">
        <v>34</v>
      </c>
      <c r="H24" t="str">
        <f>VLOOKUP(G24, '3. Mercados'!$A$2:$D$7, 2, FALSE())</f>
        <v>Centroamérica</v>
      </c>
      <c r="I24">
        <f>VLOOKUP(G24, '3. Mercados'!$A$2:$D$7, 3, FALSE())</f>
        <v>0.02</v>
      </c>
      <c r="J24" t="str">
        <f>VLOOKUP(G24, '3. Mercados'!$A$2:$D$7, 4, FALSE())</f>
        <v>Estratégico</v>
      </c>
      <c r="K24">
        <v>720</v>
      </c>
      <c r="L24">
        <v>8.1999999999999993</v>
      </c>
      <c r="M24">
        <v>5.9</v>
      </c>
      <c r="N24">
        <f t="shared" si="0"/>
        <v>5903.9999999999991</v>
      </c>
      <c r="O24">
        <f t="shared" si="1"/>
        <v>4248</v>
      </c>
      <c r="P24">
        <f t="shared" si="2"/>
        <v>1655.9999999999991</v>
      </c>
      <c r="Q24">
        <f t="shared" si="3"/>
        <v>0.2804878048780487</v>
      </c>
      <c r="R24" t="str">
        <f t="shared" si="4"/>
        <v>Media</v>
      </c>
      <c r="S24" t="str">
        <f t="shared" si="5"/>
        <v>Mediana</v>
      </c>
      <c r="T24" t="str">
        <f t="shared" si="6"/>
        <v>Media</v>
      </c>
      <c r="U24" t="s">
        <v>25</v>
      </c>
    </row>
    <row r="25" spans="1:21" x14ac:dyDescent="0.35">
      <c r="A25" t="s">
        <v>62</v>
      </c>
      <c r="B25" s="1">
        <v>46231</v>
      </c>
      <c r="C25" t="s">
        <v>36</v>
      </c>
      <c r="D25" t="s">
        <v>23</v>
      </c>
      <c r="E25" t="str">
        <f>VLOOKUP(D25, '2. Productos'!$A$3:$D$7, 2, FALSE())</f>
        <v>Miel natural</v>
      </c>
      <c r="F25" t="str">
        <f>VLOOKUP(D25, '2. Productos'!$A$3:$D$7, 3, FALSE())</f>
        <v>Apícola</v>
      </c>
      <c r="G25" t="s">
        <v>38</v>
      </c>
      <c r="H25" t="str">
        <f>VLOOKUP(G25, '3. Mercados'!$A$2:$D$7, 2, FALSE())</f>
        <v>Europa</v>
      </c>
      <c r="I25">
        <f>VLOOKUP(G25, '3. Mercados'!$A$2:$D$7, 3, FALSE())</f>
        <v>0.1</v>
      </c>
      <c r="J25" t="str">
        <f>VLOOKUP(G25, '3. Mercados'!$A$2:$D$7, 4, FALSE())</f>
        <v>Potencial</v>
      </c>
      <c r="K25">
        <v>1150</v>
      </c>
      <c r="L25">
        <v>4.8</v>
      </c>
      <c r="M25">
        <v>3.2</v>
      </c>
      <c r="N25">
        <f t="shared" si="0"/>
        <v>5520</v>
      </c>
      <c r="O25">
        <f t="shared" si="1"/>
        <v>3680</v>
      </c>
      <c r="P25">
        <f t="shared" si="2"/>
        <v>1840</v>
      </c>
      <c r="Q25">
        <f t="shared" si="3"/>
        <v>0.33333333333333331</v>
      </c>
      <c r="R25" t="str">
        <f t="shared" si="4"/>
        <v>Alta</v>
      </c>
      <c r="S25" t="str">
        <f t="shared" si="5"/>
        <v>Mediana</v>
      </c>
      <c r="T25" t="str">
        <f t="shared" si="6"/>
        <v>Media</v>
      </c>
      <c r="U25" t="s">
        <v>30</v>
      </c>
    </row>
    <row r="26" spans="1:21" x14ac:dyDescent="0.35">
      <c r="A26" t="s">
        <v>63</v>
      </c>
      <c r="B26" s="1">
        <v>46239</v>
      </c>
      <c r="C26" t="s">
        <v>41</v>
      </c>
      <c r="D26" t="s">
        <v>28</v>
      </c>
      <c r="E26" t="str">
        <f>VLOOKUP(D26, '2. Productos'!$A$3:$D$7, 2, FALSE())</f>
        <v>Café especial</v>
      </c>
      <c r="F26" t="str">
        <f>VLOOKUP(D26, '2. Productos'!$A$3:$D$7, 3, FALSE())</f>
        <v>Café</v>
      </c>
      <c r="G26" t="s">
        <v>43</v>
      </c>
      <c r="H26" t="str">
        <f>VLOOKUP(G26, '3. Mercados'!$A$2:$D$7, 2, FALSE())</f>
        <v>Norteamérica</v>
      </c>
      <c r="I26">
        <f>VLOOKUP(G26, '3. Mercados'!$A$2:$D$7, 3, FALSE())</f>
        <v>0.08</v>
      </c>
      <c r="J26" t="str">
        <f>VLOOKUP(G26, '3. Mercados'!$A$2:$D$7, 4, FALSE())</f>
        <v>Potencial</v>
      </c>
      <c r="K26">
        <v>950</v>
      </c>
      <c r="L26">
        <v>6.5</v>
      </c>
      <c r="M26">
        <v>4.0999999999999996</v>
      </c>
      <c r="N26">
        <f t="shared" si="0"/>
        <v>6175</v>
      </c>
      <c r="O26">
        <f t="shared" si="1"/>
        <v>3894.9999999999995</v>
      </c>
      <c r="P26">
        <f t="shared" si="2"/>
        <v>2280.0000000000005</v>
      </c>
      <c r="Q26">
        <f t="shared" si="3"/>
        <v>0.36923076923076931</v>
      </c>
      <c r="R26" t="str">
        <f t="shared" si="4"/>
        <v>Alta</v>
      </c>
      <c r="S26" t="str">
        <f t="shared" si="5"/>
        <v>Mediana</v>
      </c>
      <c r="T26" t="str">
        <f t="shared" si="6"/>
        <v>Media</v>
      </c>
      <c r="U26" t="s">
        <v>39</v>
      </c>
    </row>
    <row r="27" spans="1:21" x14ac:dyDescent="0.35">
      <c r="A27" t="s">
        <v>64</v>
      </c>
      <c r="B27" s="1">
        <v>46247</v>
      </c>
      <c r="C27" t="s">
        <v>27</v>
      </c>
      <c r="D27" t="s">
        <v>42</v>
      </c>
      <c r="E27" t="str">
        <f>VLOOKUP(D27, '2. Productos'!$A$3:$D$7, 2, FALSE())</f>
        <v>Aceite de ajonjolí</v>
      </c>
      <c r="F27" t="str">
        <f>VLOOKUP(D27, '2. Productos'!$A$3:$D$7, 3, FALSE())</f>
        <v>Aceites</v>
      </c>
      <c r="G27" t="s">
        <v>29</v>
      </c>
      <c r="H27" t="str">
        <f>VLOOKUP(G27, '3. Mercados'!$A$2:$D$7, 2, FALSE())</f>
        <v>Norteamérica</v>
      </c>
      <c r="I27">
        <f>VLOOKUP(G27, '3. Mercados'!$A$2:$D$7, 3, FALSE())</f>
        <v>0.05</v>
      </c>
      <c r="J27" t="str">
        <f>VLOOKUP(G27, '3. Mercados'!$A$2:$D$7, 4, FALSE())</f>
        <v>Estratégico</v>
      </c>
      <c r="K27">
        <v>700</v>
      </c>
      <c r="L27">
        <v>12.5</v>
      </c>
      <c r="M27">
        <v>8.6999999999999993</v>
      </c>
      <c r="N27">
        <f t="shared" si="0"/>
        <v>8750</v>
      </c>
      <c r="O27">
        <f t="shared" si="1"/>
        <v>6089.9999999999991</v>
      </c>
      <c r="P27">
        <f t="shared" si="2"/>
        <v>2660.0000000000009</v>
      </c>
      <c r="Q27">
        <f t="shared" si="3"/>
        <v>0.3040000000000001</v>
      </c>
      <c r="R27" t="str">
        <f t="shared" si="4"/>
        <v>Alta</v>
      </c>
      <c r="S27" t="str">
        <f t="shared" si="5"/>
        <v>Mediana</v>
      </c>
      <c r="T27" t="str">
        <f t="shared" si="6"/>
        <v>Alta</v>
      </c>
      <c r="U27" t="s">
        <v>30</v>
      </c>
    </row>
    <row r="28" spans="1:21" x14ac:dyDescent="0.35">
      <c r="A28" t="s">
        <v>65</v>
      </c>
      <c r="B28" s="1">
        <v>46255</v>
      </c>
      <c r="C28" t="s">
        <v>22</v>
      </c>
      <c r="D28" t="s">
        <v>23</v>
      </c>
      <c r="E28" t="str">
        <f>VLOOKUP(D28, '2. Productos'!$A$3:$D$7, 2, FALSE())</f>
        <v>Miel natural</v>
      </c>
      <c r="F28" t="str">
        <f>VLOOKUP(D28, '2. Productos'!$A$3:$D$7, 3, FALSE())</f>
        <v>Apícola</v>
      </c>
      <c r="G28" t="s">
        <v>24</v>
      </c>
      <c r="H28" t="str">
        <f>VLOOKUP(G28, '3. Mercados'!$A$2:$D$7, 2, FALSE())</f>
        <v>Centroamérica</v>
      </c>
      <c r="I28">
        <f>VLOOKUP(G28, '3. Mercados'!$A$2:$D$7, 3, FALSE())</f>
        <v>0.03</v>
      </c>
      <c r="J28" t="str">
        <f>VLOOKUP(G28, '3. Mercados'!$A$2:$D$7, 4, FALSE())</f>
        <v>Estratégico</v>
      </c>
      <c r="K28">
        <v>1050</v>
      </c>
      <c r="L28">
        <v>4.8</v>
      </c>
      <c r="M28">
        <v>3.2</v>
      </c>
      <c r="N28">
        <f t="shared" si="0"/>
        <v>5040</v>
      </c>
      <c r="O28">
        <f t="shared" si="1"/>
        <v>3360</v>
      </c>
      <c r="P28">
        <f t="shared" si="2"/>
        <v>1680</v>
      </c>
      <c r="Q28">
        <f t="shared" si="3"/>
        <v>0.33333333333333331</v>
      </c>
      <c r="R28" t="str">
        <f t="shared" si="4"/>
        <v>Alta</v>
      </c>
      <c r="S28" t="str">
        <f t="shared" si="5"/>
        <v>Mediana</v>
      </c>
      <c r="T28" t="str">
        <f t="shared" si="6"/>
        <v>Alta</v>
      </c>
      <c r="U28" t="s">
        <v>25</v>
      </c>
    </row>
    <row r="29" spans="1:21" x14ac:dyDescent="0.35">
      <c r="A29" t="s">
        <v>66</v>
      </c>
      <c r="B29" s="1">
        <v>46263</v>
      </c>
      <c r="C29" t="s">
        <v>32</v>
      </c>
      <c r="D29" t="s">
        <v>37</v>
      </c>
      <c r="E29" t="str">
        <f>VLOOKUP(D29, '2. Productos'!$A$3:$D$7, 2, FALSE())</f>
        <v>Cacao en grano</v>
      </c>
      <c r="F29" t="str">
        <f>VLOOKUP(D29, '2. Productos'!$A$3:$D$7, 3, FALSE())</f>
        <v>Cacao</v>
      </c>
      <c r="G29" t="s">
        <v>34</v>
      </c>
      <c r="H29" t="str">
        <f>VLOOKUP(G29, '3. Mercados'!$A$2:$D$7, 2, FALSE())</f>
        <v>Centroamérica</v>
      </c>
      <c r="I29">
        <f>VLOOKUP(G29, '3. Mercados'!$A$2:$D$7, 3, FALSE())</f>
        <v>0.02</v>
      </c>
      <c r="J29" t="str">
        <f>VLOOKUP(G29, '3. Mercados'!$A$2:$D$7, 4, FALSE())</f>
        <v>Estratégico</v>
      </c>
      <c r="K29">
        <v>850</v>
      </c>
      <c r="L29">
        <v>7.1</v>
      </c>
      <c r="M29">
        <v>4.8</v>
      </c>
      <c r="N29">
        <f t="shared" si="0"/>
        <v>6035</v>
      </c>
      <c r="O29">
        <f t="shared" si="1"/>
        <v>4080</v>
      </c>
      <c r="P29">
        <f t="shared" si="2"/>
        <v>1955</v>
      </c>
      <c r="Q29">
        <f t="shared" si="3"/>
        <v>0.323943661971831</v>
      </c>
      <c r="R29" t="str">
        <f t="shared" si="4"/>
        <v>Alta</v>
      </c>
      <c r="S29" t="str">
        <f t="shared" si="5"/>
        <v>Mediana</v>
      </c>
      <c r="T29" t="str">
        <f t="shared" si="6"/>
        <v>Alta</v>
      </c>
      <c r="U29" t="s">
        <v>30</v>
      </c>
    </row>
    <row r="30" spans="1:21" x14ac:dyDescent="0.35">
      <c r="A30" t="s">
        <v>67</v>
      </c>
      <c r="B30" s="1">
        <v>46269</v>
      </c>
      <c r="C30" t="s">
        <v>36</v>
      </c>
      <c r="D30" t="s">
        <v>28</v>
      </c>
      <c r="E30" t="str">
        <f>VLOOKUP(D30, '2. Productos'!$A$3:$D$7, 2, FALSE())</f>
        <v>Café especial</v>
      </c>
      <c r="F30" t="str">
        <f>VLOOKUP(D30, '2. Productos'!$A$3:$D$7, 3, FALSE())</f>
        <v>Café</v>
      </c>
      <c r="G30" t="s">
        <v>38</v>
      </c>
      <c r="H30" t="str">
        <f>VLOOKUP(G30, '3. Mercados'!$A$2:$D$7, 2, FALSE())</f>
        <v>Europa</v>
      </c>
      <c r="I30">
        <f>VLOOKUP(G30, '3. Mercados'!$A$2:$D$7, 3, FALSE())</f>
        <v>0.1</v>
      </c>
      <c r="J30" t="str">
        <f>VLOOKUP(G30, '3. Mercados'!$A$2:$D$7, 4, FALSE())</f>
        <v>Potencial</v>
      </c>
      <c r="K30">
        <v>1200</v>
      </c>
      <c r="L30">
        <v>6.5</v>
      </c>
      <c r="M30">
        <v>4.0999999999999996</v>
      </c>
      <c r="N30">
        <f t="shared" si="0"/>
        <v>7800</v>
      </c>
      <c r="O30">
        <f t="shared" si="1"/>
        <v>4920</v>
      </c>
      <c r="P30">
        <f t="shared" si="2"/>
        <v>2880</v>
      </c>
      <c r="Q30">
        <f t="shared" si="3"/>
        <v>0.36923076923076925</v>
      </c>
      <c r="R30" t="str">
        <f t="shared" si="4"/>
        <v>Alta</v>
      </c>
      <c r="S30" t="str">
        <f t="shared" si="5"/>
        <v>Mediana</v>
      </c>
      <c r="T30" t="str">
        <f t="shared" si="6"/>
        <v>Media</v>
      </c>
      <c r="U30" t="s">
        <v>25</v>
      </c>
    </row>
    <row r="31" spans="1:21" x14ac:dyDescent="0.35">
      <c r="A31" t="s">
        <v>68</v>
      </c>
      <c r="B31" s="1">
        <v>46277</v>
      </c>
      <c r="C31" t="s">
        <v>41</v>
      </c>
      <c r="D31" t="s">
        <v>33</v>
      </c>
      <c r="E31" t="str">
        <f>VLOOKUP(D31, '2. Productos'!$A$3:$D$7, 2, FALSE())</f>
        <v>Maní procesado</v>
      </c>
      <c r="F31" t="str">
        <f>VLOOKUP(D31, '2. Productos'!$A$3:$D$7, 3, FALSE())</f>
        <v>Semillas</v>
      </c>
      <c r="G31" t="s">
        <v>43</v>
      </c>
      <c r="H31" t="str">
        <f>VLOOKUP(G31, '3. Mercados'!$A$2:$D$7, 2, FALSE())</f>
        <v>Norteamérica</v>
      </c>
      <c r="I31">
        <f>VLOOKUP(G31, '3. Mercados'!$A$2:$D$7, 3, FALSE())</f>
        <v>0.08</v>
      </c>
      <c r="J31" t="str">
        <f>VLOOKUP(G31, '3. Mercados'!$A$2:$D$7, 4, FALSE())</f>
        <v>Potencial</v>
      </c>
      <c r="K31">
        <v>600</v>
      </c>
      <c r="L31">
        <v>8.1999999999999993</v>
      </c>
      <c r="M31">
        <v>5.9</v>
      </c>
      <c r="N31">
        <f t="shared" si="0"/>
        <v>4920</v>
      </c>
      <c r="O31">
        <f t="shared" si="1"/>
        <v>3540</v>
      </c>
      <c r="P31">
        <f t="shared" si="2"/>
        <v>1380</v>
      </c>
      <c r="Q31">
        <f t="shared" si="3"/>
        <v>0.28048780487804881</v>
      </c>
      <c r="R31" t="str">
        <f t="shared" si="4"/>
        <v>Media</v>
      </c>
      <c r="S31" t="str">
        <f t="shared" si="5"/>
        <v>Pequeña</v>
      </c>
      <c r="T31" t="str">
        <f t="shared" si="6"/>
        <v>Baja</v>
      </c>
      <c r="U31" t="s">
        <v>30</v>
      </c>
    </row>
    <row r="32" spans="1:21" x14ac:dyDescent="0.35">
      <c r="A32" t="s">
        <v>69</v>
      </c>
      <c r="B32" s="1">
        <v>46285</v>
      </c>
      <c r="C32" t="s">
        <v>27</v>
      </c>
      <c r="D32" t="s">
        <v>23</v>
      </c>
      <c r="E32" t="str">
        <f>VLOOKUP(D32, '2. Productos'!$A$3:$D$7, 2, FALSE())</f>
        <v>Miel natural</v>
      </c>
      <c r="F32" t="str">
        <f>VLOOKUP(D32, '2. Productos'!$A$3:$D$7, 3, FALSE())</f>
        <v>Apícola</v>
      </c>
      <c r="G32" t="s">
        <v>29</v>
      </c>
      <c r="H32" t="str">
        <f>VLOOKUP(G32, '3. Mercados'!$A$2:$D$7, 2, FALSE())</f>
        <v>Norteamérica</v>
      </c>
      <c r="I32">
        <f>VLOOKUP(G32, '3. Mercados'!$A$2:$D$7, 3, FALSE())</f>
        <v>0.05</v>
      </c>
      <c r="J32" t="str">
        <f>VLOOKUP(G32, '3. Mercados'!$A$2:$D$7, 4, FALSE())</f>
        <v>Estratégico</v>
      </c>
      <c r="K32">
        <v>1350</v>
      </c>
      <c r="L32">
        <v>4.8</v>
      </c>
      <c r="M32">
        <v>3.2</v>
      </c>
      <c r="N32">
        <f t="shared" si="0"/>
        <v>6480</v>
      </c>
      <c r="O32">
        <f t="shared" si="1"/>
        <v>4320</v>
      </c>
      <c r="P32">
        <f t="shared" si="2"/>
        <v>2160</v>
      </c>
      <c r="Q32">
        <f t="shared" si="3"/>
        <v>0.33333333333333331</v>
      </c>
      <c r="R32" t="str">
        <f t="shared" si="4"/>
        <v>Alta</v>
      </c>
      <c r="S32" t="str">
        <f t="shared" si="5"/>
        <v>Mediana</v>
      </c>
      <c r="T32" t="str">
        <f t="shared" si="6"/>
        <v>Alta</v>
      </c>
      <c r="U32" t="s">
        <v>30</v>
      </c>
    </row>
    <row r="33" spans="1:21" x14ac:dyDescent="0.35">
      <c r="A33" t="s">
        <v>70</v>
      </c>
      <c r="B33" s="1">
        <v>46293</v>
      </c>
      <c r="C33" t="s">
        <v>22</v>
      </c>
      <c r="D33" t="s">
        <v>42</v>
      </c>
      <c r="E33" t="str">
        <f>VLOOKUP(D33, '2. Productos'!$A$3:$D$7, 2, FALSE())</f>
        <v>Aceite de ajonjolí</v>
      </c>
      <c r="F33" t="str">
        <f>VLOOKUP(D33, '2. Productos'!$A$3:$D$7, 3, FALSE())</f>
        <v>Aceites</v>
      </c>
      <c r="G33" t="s">
        <v>24</v>
      </c>
      <c r="H33" t="str">
        <f>VLOOKUP(G33, '3. Mercados'!$A$2:$D$7, 2, FALSE())</f>
        <v>Centroamérica</v>
      </c>
      <c r="I33">
        <f>VLOOKUP(G33, '3. Mercados'!$A$2:$D$7, 3, FALSE())</f>
        <v>0.03</v>
      </c>
      <c r="J33" t="str">
        <f>VLOOKUP(G33, '3. Mercados'!$A$2:$D$7, 4, FALSE())</f>
        <v>Estratégico</v>
      </c>
      <c r="K33">
        <v>500</v>
      </c>
      <c r="L33">
        <v>12.5</v>
      </c>
      <c r="M33">
        <v>8.6999999999999993</v>
      </c>
      <c r="N33">
        <f t="shared" si="0"/>
        <v>6250</v>
      </c>
      <c r="O33">
        <f t="shared" si="1"/>
        <v>4350</v>
      </c>
      <c r="P33">
        <f t="shared" si="2"/>
        <v>1900</v>
      </c>
      <c r="Q33">
        <f t="shared" si="3"/>
        <v>0.30399999999999999</v>
      </c>
      <c r="R33" t="str">
        <f t="shared" si="4"/>
        <v>Alta</v>
      </c>
      <c r="S33" t="str">
        <f t="shared" si="5"/>
        <v>Mediana</v>
      </c>
      <c r="T33" t="str">
        <f t="shared" si="6"/>
        <v>Alta</v>
      </c>
      <c r="U33" t="s">
        <v>39</v>
      </c>
    </row>
    <row r="34" spans="1:21" x14ac:dyDescent="0.35">
      <c r="A34" t="s">
        <v>71</v>
      </c>
      <c r="B34" s="1">
        <v>46301</v>
      </c>
      <c r="C34" t="s">
        <v>32</v>
      </c>
      <c r="D34" t="s">
        <v>28</v>
      </c>
      <c r="E34" t="str">
        <f>VLOOKUP(D34, '2. Productos'!$A$3:$D$7, 2, FALSE())</f>
        <v>Café especial</v>
      </c>
      <c r="F34" t="str">
        <f>VLOOKUP(D34, '2. Productos'!$A$3:$D$7, 3, FALSE())</f>
        <v>Café</v>
      </c>
      <c r="G34" t="s">
        <v>34</v>
      </c>
      <c r="H34" t="str">
        <f>VLOOKUP(G34, '3. Mercados'!$A$2:$D$7, 2, FALSE())</f>
        <v>Centroamérica</v>
      </c>
      <c r="I34">
        <f>VLOOKUP(G34, '3. Mercados'!$A$2:$D$7, 3, FALSE())</f>
        <v>0.02</v>
      </c>
      <c r="J34" t="str">
        <f>VLOOKUP(G34, '3. Mercados'!$A$2:$D$7, 4, FALSE())</f>
        <v>Estratégico</v>
      </c>
      <c r="K34">
        <v>950</v>
      </c>
      <c r="L34">
        <v>6.5</v>
      </c>
      <c r="M34">
        <v>4.0999999999999996</v>
      </c>
      <c r="N34">
        <f t="shared" ref="N34:N65" si="7">K34*L34</f>
        <v>6175</v>
      </c>
      <c r="O34">
        <f t="shared" ref="O34:O65" si="8">K34*M34</f>
        <v>3894.9999999999995</v>
      </c>
      <c r="P34">
        <f t="shared" ref="P34:P65" si="9">N34-O34</f>
        <v>2280.0000000000005</v>
      </c>
      <c r="Q34">
        <f t="shared" ref="Q34:Q65" si="10">P34/N34</f>
        <v>0.36923076923076931</v>
      </c>
      <c r="R34" t="str">
        <f t="shared" ref="R34:R65" si="11">IF(Q34&gt;=0.3, "Alta", IF(Q34&gt;=0.15, "Media", "Baja"))</f>
        <v>Alta</v>
      </c>
      <c r="S34" t="str">
        <f t="shared" ref="S34:S65" si="12">IF(N34&gt;=10000, "Grande", IF(N34&gt;=5000, "Mediana", "Pequeña"))</f>
        <v>Mediana</v>
      </c>
      <c r="T34" t="str">
        <f t="shared" ref="T34:T65" si="13">IF(AND(J34="Estratégico", Q34&gt;=0.3), "Alta", IF(AND(J34="Estratégico", Q34&lt;0.3), "Media", IF(AND(J34="Potencial", Q34&gt;=0.3), "Media", "Baja")))</f>
        <v>Alta</v>
      </c>
      <c r="U34" t="s">
        <v>25</v>
      </c>
    </row>
    <row r="35" spans="1:21" x14ac:dyDescent="0.35">
      <c r="A35" t="s">
        <v>72</v>
      </c>
      <c r="B35" s="1">
        <v>46309</v>
      </c>
      <c r="C35" t="s">
        <v>36</v>
      </c>
      <c r="D35" t="s">
        <v>37</v>
      </c>
      <c r="E35" t="str">
        <f>VLOOKUP(D35, '2. Productos'!$A$3:$D$7, 2, FALSE())</f>
        <v>Cacao en grano</v>
      </c>
      <c r="F35" t="str">
        <f>VLOOKUP(D35, '2. Productos'!$A$3:$D$7, 3, FALSE())</f>
        <v>Cacao</v>
      </c>
      <c r="G35" t="s">
        <v>38</v>
      </c>
      <c r="H35" t="str">
        <f>VLOOKUP(G35, '3. Mercados'!$A$2:$D$7, 2, FALSE())</f>
        <v>Europa</v>
      </c>
      <c r="I35">
        <f>VLOOKUP(G35, '3. Mercados'!$A$2:$D$7, 3, FALSE())</f>
        <v>0.1</v>
      </c>
      <c r="J35" t="str">
        <f>VLOOKUP(G35, '3. Mercados'!$A$2:$D$7, 4, FALSE())</f>
        <v>Potencial</v>
      </c>
      <c r="K35">
        <v>1050</v>
      </c>
      <c r="L35">
        <v>7.1</v>
      </c>
      <c r="M35">
        <v>4.8</v>
      </c>
      <c r="N35">
        <f t="shared" si="7"/>
        <v>7455</v>
      </c>
      <c r="O35">
        <f t="shared" si="8"/>
        <v>5040</v>
      </c>
      <c r="P35">
        <f t="shared" si="9"/>
        <v>2415</v>
      </c>
      <c r="Q35">
        <f t="shared" si="10"/>
        <v>0.323943661971831</v>
      </c>
      <c r="R35" t="str">
        <f t="shared" si="11"/>
        <v>Alta</v>
      </c>
      <c r="S35" t="str">
        <f t="shared" si="12"/>
        <v>Mediana</v>
      </c>
      <c r="T35" t="str">
        <f t="shared" si="13"/>
        <v>Media</v>
      </c>
      <c r="U35" t="s">
        <v>30</v>
      </c>
    </row>
    <row r="36" spans="1:21" x14ac:dyDescent="0.35">
      <c r="A36" t="s">
        <v>73</v>
      </c>
      <c r="B36" s="1">
        <v>46317</v>
      </c>
      <c r="C36" t="s">
        <v>41</v>
      </c>
      <c r="D36" t="s">
        <v>23</v>
      </c>
      <c r="E36" t="str">
        <f>VLOOKUP(D36, '2. Productos'!$A$3:$D$7, 2, FALSE())</f>
        <v>Miel natural</v>
      </c>
      <c r="F36" t="str">
        <f>VLOOKUP(D36, '2. Productos'!$A$3:$D$7, 3, FALSE())</f>
        <v>Apícola</v>
      </c>
      <c r="G36" t="s">
        <v>43</v>
      </c>
      <c r="H36" t="str">
        <f>VLOOKUP(G36, '3. Mercados'!$A$2:$D$7, 2, FALSE())</f>
        <v>Norteamérica</v>
      </c>
      <c r="I36">
        <f>VLOOKUP(G36, '3. Mercados'!$A$2:$D$7, 3, FALSE())</f>
        <v>0.08</v>
      </c>
      <c r="J36" t="str">
        <f>VLOOKUP(G36, '3. Mercados'!$A$2:$D$7, 4, FALSE())</f>
        <v>Potencial</v>
      </c>
      <c r="K36">
        <v>750</v>
      </c>
      <c r="L36">
        <v>4.8</v>
      </c>
      <c r="M36">
        <v>3.2</v>
      </c>
      <c r="N36">
        <f t="shared" si="7"/>
        <v>3600</v>
      </c>
      <c r="O36">
        <f t="shared" si="8"/>
        <v>2400</v>
      </c>
      <c r="P36">
        <f t="shared" si="9"/>
        <v>1200</v>
      </c>
      <c r="Q36">
        <f t="shared" si="10"/>
        <v>0.33333333333333331</v>
      </c>
      <c r="R36" t="str">
        <f t="shared" si="11"/>
        <v>Alta</v>
      </c>
      <c r="S36" t="str">
        <f t="shared" si="12"/>
        <v>Pequeña</v>
      </c>
      <c r="T36" t="str">
        <f t="shared" si="13"/>
        <v>Media</v>
      </c>
      <c r="U36" t="s">
        <v>25</v>
      </c>
    </row>
    <row r="37" spans="1:21" x14ac:dyDescent="0.35">
      <c r="A37" t="s">
        <v>74</v>
      </c>
      <c r="B37" s="1">
        <v>46325</v>
      </c>
      <c r="C37" t="s">
        <v>27</v>
      </c>
      <c r="D37" t="s">
        <v>33</v>
      </c>
      <c r="E37" t="str">
        <f>VLOOKUP(D37, '2. Productos'!$A$3:$D$7, 2, FALSE())</f>
        <v>Maní procesado</v>
      </c>
      <c r="F37" t="str">
        <f>VLOOKUP(D37, '2. Productos'!$A$3:$D$7, 3, FALSE())</f>
        <v>Semillas</v>
      </c>
      <c r="G37" t="s">
        <v>29</v>
      </c>
      <c r="H37" t="str">
        <f>VLOOKUP(G37, '3. Mercados'!$A$2:$D$7, 2, FALSE())</f>
        <v>Norteamérica</v>
      </c>
      <c r="I37">
        <f>VLOOKUP(G37, '3. Mercados'!$A$2:$D$7, 3, FALSE())</f>
        <v>0.05</v>
      </c>
      <c r="J37" t="str">
        <f>VLOOKUP(G37, '3. Mercados'!$A$2:$D$7, 4, FALSE())</f>
        <v>Estratégico</v>
      </c>
      <c r="K37">
        <v>900</v>
      </c>
      <c r="L37">
        <v>8.1999999999999993</v>
      </c>
      <c r="M37">
        <v>5.9</v>
      </c>
      <c r="N37">
        <f t="shared" si="7"/>
        <v>7379.9999999999991</v>
      </c>
      <c r="O37">
        <f t="shared" si="8"/>
        <v>5310</v>
      </c>
      <c r="P37">
        <f t="shared" si="9"/>
        <v>2069.9999999999991</v>
      </c>
      <c r="Q37">
        <f t="shared" si="10"/>
        <v>0.2804878048780487</v>
      </c>
      <c r="R37" t="str">
        <f t="shared" si="11"/>
        <v>Media</v>
      </c>
      <c r="S37" t="str">
        <f t="shared" si="12"/>
        <v>Mediana</v>
      </c>
      <c r="T37" t="str">
        <f t="shared" si="13"/>
        <v>Media</v>
      </c>
      <c r="U37" t="s">
        <v>30</v>
      </c>
    </row>
    <row r="38" spans="1:21" x14ac:dyDescent="0.35">
      <c r="A38" t="s">
        <v>75</v>
      </c>
      <c r="B38" s="1">
        <v>46333</v>
      </c>
      <c r="C38" t="s">
        <v>22</v>
      </c>
      <c r="D38" t="s">
        <v>28</v>
      </c>
      <c r="E38" t="str">
        <f>VLOOKUP(D38, '2. Productos'!$A$3:$D$7, 2, FALSE())</f>
        <v>Café especial</v>
      </c>
      <c r="F38" t="str">
        <f>VLOOKUP(D38, '2. Productos'!$A$3:$D$7, 3, FALSE())</f>
        <v>Café</v>
      </c>
      <c r="G38" t="s">
        <v>24</v>
      </c>
      <c r="H38" t="str">
        <f>VLOOKUP(G38, '3. Mercados'!$A$2:$D$7, 2, FALSE())</f>
        <v>Centroamérica</v>
      </c>
      <c r="I38">
        <f>VLOOKUP(G38, '3. Mercados'!$A$2:$D$7, 3, FALSE())</f>
        <v>0.03</v>
      </c>
      <c r="J38" t="str">
        <f>VLOOKUP(G38, '3. Mercados'!$A$2:$D$7, 4, FALSE())</f>
        <v>Estratégico</v>
      </c>
      <c r="K38">
        <v>1150</v>
      </c>
      <c r="L38">
        <v>6.5</v>
      </c>
      <c r="M38">
        <v>4.0999999999999996</v>
      </c>
      <c r="N38">
        <f t="shared" si="7"/>
        <v>7475</v>
      </c>
      <c r="O38">
        <f t="shared" si="8"/>
        <v>4715</v>
      </c>
      <c r="P38">
        <f t="shared" si="9"/>
        <v>2760</v>
      </c>
      <c r="Q38">
        <f t="shared" si="10"/>
        <v>0.36923076923076925</v>
      </c>
      <c r="R38" t="str">
        <f t="shared" si="11"/>
        <v>Alta</v>
      </c>
      <c r="S38" t="str">
        <f t="shared" si="12"/>
        <v>Mediana</v>
      </c>
      <c r="T38" t="str">
        <f t="shared" si="13"/>
        <v>Alta</v>
      </c>
      <c r="U38" t="s">
        <v>30</v>
      </c>
    </row>
    <row r="39" spans="1:21" x14ac:dyDescent="0.35">
      <c r="A39" t="s">
        <v>76</v>
      </c>
      <c r="B39" s="1">
        <v>46341</v>
      </c>
      <c r="C39" t="s">
        <v>32</v>
      </c>
      <c r="D39" t="s">
        <v>42</v>
      </c>
      <c r="E39" t="str">
        <f>VLOOKUP(D39, '2. Productos'!$A$3:$D$7, 2, FALSE())</f>
        <v>Aceite de ajonjolí</v>
      </c>
      <c r="F39" t="str">
        <f>VLOOKUP(D39, '2. Productos'!$A$3:$D$7, 3, FALSE())</f>
        <v>Aceites</v>
      </c>
      <c r="G39" t="s">
        <v>34</v>
      </c>
      <c r="H39" t="str">
        <f>VLOOKUP(G39, '3. Mercados'!$A$2:$D$7, 2, FALSE())</f>
        <v>Centroamérica</v>
      </c>
      <c r="I39">
        <f>VLOOKUP(G39, '3. Mercados'!$A$2:$D$7, 3, FALSE())</f>
        <v>0.02</v>
      </c>
      <c r="J39" t="str">
        <f>VLOOKUP(G39, '3. Mercados'!$A$2:$D$7, 4, FALSE())</f>
        <v>Estratégico</v>
      </c>
      <c r="K39">
        <v>580</v>
      </c>
      <c r="L39">
        <v>12.5</v>
      </c>
      <c r="M39">
        <v>8.6999999999999993</v>
      </c>
      <c r="N39">
        <f t="shared" si="7"/>
        <v>7250</v>
      </c>
      <c r="O39">
        <f t="shared" si="8"/>
        <v>5046</v>
      </c>
      <c r="P39">
        <f t="shared" si="9"/>
        <v>2204</v>
      </c>
      <c r="Q39">
        <f t="shared" si="10"/>
        <v>0.30399999999999999</v>
      </c>
      <c r="R39" t="str">
        <f t="shared" si="11"/>
        <v>Alta</v>
      </c>
      <c r="S39" t="str">
        <f t="shared" si="12"/>
        <v>Mediana</v>
      </c>
      <c r="T39" t="str">
        <f t="shared" si="13"/>
        <v>Alta</v>
      </c>
      <c r="U39" t="s">
        <v>25</v>
      </c>
    </row>
    <row r="40" spans="1:21" x14ac:dyDescent="0.35">
      <c r="A40" t="s">
        <v>77</v>
      </c>
      <c r="B40" s="1">
        <v>46349</v>
      </c>
      <c r="C40" t="s">
        <v>36</v>
      </c>
      <c r="D40" t="s">
        <v>23</v>
      </c>
      <c r="E40" t="str">
        <f>VLOOKUP(D40, '2. Productos'!$A$3:$D$7, 2, FALSE())</f>
        <v>Miel natural</v>
      </c>
      <c r="F40" t="str">
        <f>VLOOKUP(D40, '2. Productos'!$A$3:$D$7, 3, FALSE())</f>
        <v>Apícola</v>
      </c>
      <c r="G40" t="s">
        <v>38</v>
      </c>
      <c r="H40" t="str">
        <f>VLOOKUP(G40, '3. Mercados'!$A$2:$D$7, 2, FALSE())</f>
        <v>Europa</v>
      </c>
      <c r="I40">
        <f>VLOOKUP(G40, '3. Mercados'!$A$2:$D$7, 3, FALSE())</f>
        <v>0.1</v>
      </c>
      <c r="J40" t="str">
        <f>VLOOKUP(G40, '3. Mercados'!$A$2:$D$7, 4, FALSE())</f>
        <v>Potencial</v>
      </c>
      <c r="K40">
        <v>1300</v>
      </c>
      <c r="L40">
        <v>4.8</v>
      </c>
      <c r="M40">
        <v>3.2</v>
      </c>
      <c r="N40">
        <f t="shared" si="7"/>
        <v>6240</v>
      </c>
      <c r="O40">
        <f t="shared" si="8"/>
        <v>4160</v>
      </c>
      <c r="P40">
        <f t="shared" si="9"/>
        <v>2080</v>
      </c>
      <c r="Q40">
        <f t="shared" si="10"/>
        <v>0.33333333333333331</v>
      </c>
      <c r="R40" t="str">
        <f t="shared" si="11"/>
        <v>Alta</v>
      </c>
      <c r="S40" t="str">
        <f t="shared" si="12"/>
        <v>Mediana</v>
      </c>
      <c r="T40" t="str">
        <f t="shared" si="13"/>
        <v>Media</v>
      </c>
      <c r="U40" t="s">
        <v>39</v>
      </c>
    </row>
    <row r="41" spans="1:21" x14ac:dyDescent="0.35">
      <c r="A41" t="s">
        <v>78</v>
      </c>
      <c r="B41" s="1">
        <v>46357</v>
      </c>
      <c r="C41" t="s">
        <v>41</v>
      </c>
      <c r="D41" t="s">
        <v>37</v>
      </c>
      <c r="E41" t="str">
        <f>VLOOKUP(D41, '2. Productos'!$A$3:$D$7, 2, FALSE())</f>
        <v>Cacao en grano</v>
      </c>
      <c r="F41" t="str">
        <f>VLOOKUP(D41, '2. Productos'!$A$3:$D$7, 3, FALSE())</f>
        <v>Cacao</v>
      </c>
      <c r="G41" t="s">
        <v>43</v>
      </c>
      <c r="H41" t="str">
        <f>VLOOKUP(G41, '3. Mercados'!$A$2:$D$7, 2, FALSE())</f>
        <v>Norteamérica</v>
      </c>
      <c r="I41">
        <f>VLOOKUP(G41, '3. Mercados'!$A$2:$D$7, 3, FALSE())</f>
        <v>0.08</v>
      </c>
      <c r="J41" t="str">
        <f>VLOOKUP(G41, '3. Mercados'!$A$2:$D$7, 4, FALSE())</f>
        <v>Potencial</v>
      </c>
      <c r="K41">
        <v>900</v>
      </c>
      <c r="L41">
        <v>7.1</v>
      </c>
      <c r="M41">
        <v>4.8</v>
      </c>
      <c r="N41">
        <f t="shared" si="7"/>
        <v>6390</v>
      </c>
      <c r="O41">
        <f t="shared" si="8"/>
        <v>4320</v>
      </c>
      <c r="P41">
        <f t="shared" si="9"/>
        <v>2070</v>
      </c>
      <c r="Q41">
        <f t="shared" si="10"/>
        <v>0.323943661971831</v>
      </c>
      <c r="R41" t="str">
        <f t="shared" si="11"/>
        <v>Alta</v>
      </c>
      <c r="S41" t="str">
        <f t="shared" si="12"/>
        <v>Mediana</v>
      </c>
      <c r="T41" t="str">
        <f t="shared" si="13"/>
        <v>Media</v>
      </c>
      <c r="U41" t="s">
        <v>30</v>
      </c>
    </row>
    <row r="42" spans="1:21" x14ac:dyDescent="0.35">
      <c r="A42" t="s">
        <v>79</v>
      </c>
      <c r="B42" s="1">
        <v>46364</v>
      </c>
      <c r="C42" t="s">
        <v>27</v>
      </c>
      <c r="D42" t="s">
        <v>28</v>
      </c>
      <c r="E42" t="str">
        <f>VLOOKUP(D42, '2. Productos'!$A$3:$D$7, 2, FALSE())</f>
        <v>Café especial</v>
      </c>
      <c r="F42" t="str">
        <f>VLOOKUP(D42, '2. Productos'!$A$3:$D$7, 3, FALSE())</f>
        <v>Café</v>
      </c>
      <c r="G42" t="s">
        <v>29</v>
      </c>
      <c r="H42" t="str">
        <f>VLOOKUP(G42, '3. Mercados'!$A$2:$D$7, 2, FALSE())</f>
        <v>Norteamérica</v>
      </c>
      <c r="I42">
        <f>VLOOKUP(G42, '3. Mercados'!$A$2:$D$7, 3, FALSE())</f>
        <v>0.05</v>
      </c>
      <c r="J42" t="str">
        <f>VLOOKUP(G42, '3. Mercados'!$A$2:$D$7, 4, FALSE())</f>
        <v>Estratégico</v>
      </c>
      <c r="K42">
        <v>1400</v>
      </c>
      <c r="L42">
        <v>6.5</v>
      </c>
      <c r="M42">
        <v>4.0999999999999996</v>
      </c>
      <c r="N42">
        <f t="shared" si="7"/>
        <v>9100</v>
      </c>
      <c r="O42">
        <f t="shared" si="8"/>
        <v>5739.9999999999991</v>
      </c>
      <c r="P42">
        <f t="shared" si="9"/>
        <v>3360.0000000000009</v>
      </c>
      <c r="Q42">
        <f t="shared" si="10"/>
        <v>0.36923076923076931</v>
      </c>
      <c r="R42" t="str">
        <f t="shared" si="11"/>
        <v>Alta</v>
      </c>
      <c r="S42" t="str">
        <f t="shared" si="12"/>
        <v>Mediana</v>
      </c>
      <c r="T42" t="str">
        <f t="shared" si="13"/>
        <v>Alta</v>
      </c>
      <c r="U42" t="s">
        <v>25</v>
      </c>
    </row>
    <row r="43" spans="1:21" x14ac:dyDescent="0.35">
      <c r="A43" t="s">
        <v>80</v>
      </c>
      <c r="B43" s="1">
        <v>46371</v>
      </c>
      <c r="C43" t="s">
        <v>22</v>
      </c>
      <c r="D43" t="s">
        <v>33</v>
      </c>
      <c r="E43" t="str">
        <f>VLOOKUP(D43, '2. Productos'!$A$3:$D$7, 2, FALSE())</f>
        <v>Maní procesado</v>
      </c>
      <c r="F43" t="str">
        <f>VLOOKUP(D43, '2. Productos'!$A$3:$D$7, 3, FALSE())</f>
        <v>Semillas</v>
      </c>
      <c r="G43" t="s">
        <v>24</v>
      </c>
      <c r="H43" t="str">
        <f>VLOOKUP(G43, '3. Mercados'!$A$2:$D$7, 2, FALSE())</f>
        <v>Centroamérica</v>
      </c>
      <c r="I43">
        <f>VLOOKUP(G43, '3. Mercados'!$A$2:$D$7, 3, FALSE())</f>
        <v>0.03</v>
      </c>
      <c r="J43" t="str">
        <f>VLOOKUP(G43, '3. Mercados'!$A$2:$D$7, 4, FALSE())</f>
        <v>Estratégico</v>
      </c>
      <c r="K43">
        <v>800</v>
      </c>
      <c r="L43">
        <v>8.1999999999999993</v>
      </c>
      <c r="M43">
        <v>5.9</v>
      </c>
      <c r="N43">
        <f t="shared" si="7"/>
        <v>6559.9999999999991</v>
      </c>
      <c r="O43">
        <f t="shared" si="8"/>
        <v>4720</v>
      </c>
      <c r="P43">
        <f t="shared" si="9"/>
        <v>1839.9999999999991</v>
      </c>
      <c r="Q43">
        <f t="shared" si="10"/>
        <v>0.2804878048780487</v>
      </c>
      <c r="R43" t="str">
        <f t="shared" si="11"/>
        <v>Media</v>
      </c>
      <c r="S43" t="str">
        <f t="shared" si="12"/>
        <v>Mediana</v>
      </c>
      <c r="T43" t="str">
        <f t="shared" si="13"/>
        <v>Media</v>
      </c>
      <c r="U43" t="s">
        <v>30</v>
      </c>
    </row>
    <row r="44" spans="1:21" x14ac:dyDescent="0.35">
      <c r="A44" t="s">
        <v>81</v>
      </c>
      <c r="B44" s="1">
        <v>46378</v>
      </c>
      <c r="C44" t="s">
        <v>32</v>
      </c>
      <c r="D44" t="s">
        <v>23</v>
      </c>
      <c r="E44" t="str">
        <f>VLOOKUP(D44, '2. Productos'!$A$3:$D$7, 2, FALSE())</f>
        <v>Miel natural</v>
      </c>
      <c r="F44" t="str">
        <f>VLOOKUP(D44, '2. Productos'!$A$3:$D$7, 3, FALSE())</f>
        <v>Apícola</v>
      </c>
      <c r="G44" t="s">
        <v>34</v>
      </c>
      <c r="H44" t="str">
        <f>VLOOKUP(G44, '3. Mercados'!$A$2:$D$7, 2, FALSE())</f>
        <v>Centroamérica</v>
      </c>
      <c r="I44">
        <f>VLOOKUP(G44, '3. Mercados'!$A$2:$D$7, 3, FALSE())</f>
        <v>0.02</v>
      </c>
      <c r="J44" t="str">
        <f>VLOOKUP(G44, '3. Mercados'!$A$2:$D$7, 4, FALSE())</f>
        <v>Estratégico</v>
      </c>
      <c r="K44">
        <v>1000</v>
      </c>
      <c r="L44">
        <v>4.8</v>
      </c>
      <c r="M44">
        <v>3.2</v>
      </c>
      <c r="N44">
        <f t="shared" si="7"/>
        <v>4800</v>
      </c>
      <c r="O44">
        <f t="shared" si="8"/>
        <v>3200</v>
      </c>
      <c r="P44">
        <f t="shared" si="9"/>
        <v>1600</v>
      </c>
      <c r="Q44">
        <f t="shared" si="10"/>
        <v>0.33333333333333331</v>
      </c>
      <c r="R44" t="str">
        <f t="shared" si="11"/>
        <v>Alta</v>
      </c>
      <c r="S44" t="str">
        <f t="shared" si="12"/>
        <v>Pequeña</v>
      </c>
      <c r="T44" t="str">
        <f t="shared" si="13"/>
        <v>Alta</v>
      </c>
      <c r="U44" t="s">
        <v>30</v>
      </c>
    </row>
    <row r="45" spans="1:21" x14ac:dyDescent="0.35">
      <c r="A45" t="s">
        <v>82</v>
      </c>
      <c r="B45" s="1">
        <v>46384</v>
      </c>
      <c r="C45" t="s">
        <v>36</v>
      </c>
      <c r="D45" t="s">
        <v>42</v>
      </c>
      <c r="E45" t="str">
        <f>VLOOKUP(D45, '2. Productos'!$A$3:$D$7, 2, FALSE())</f>
        <v>Aceite de ajonjolí</v>
      </c>
      <c r="F45" t="str">
        <f>VLOOKUP(D45, '2. Productos'!$A$3:$D$7, 3, FALSE())</f>
        <v>Aceites</v>
      </c>
      <c r="G45" t="s">
        <v>38</v>
      </c>
      <c r="H45" t="str">
        <f>VLOOKUP(G45, '3. Mercados'!$A$2:$D$7, 2, FALSE())</f>
        <v>Europa</v>
      </c>
      <c r="I45">
        <f>VLOOKUP(G45, '3. Mercados'!$A$2:$D$7, 3, FALSE())</f>
        <v>0.1</v>
      </c>
      <c r="J45" t="str">
        <f>VLOOKUP(G45, '3. Mercados'!$A$2:$D$7, 4, FALSE())</f>
        <v>Potencial</v>
      </c>
      <c r="K45">
        <v>650</v>
      </c>
      <c r="L45">
        <v>12.5</v>
      </c>
      <c r="M45">
        <v>8.6999999999999993</v>
      </c>
      <c r="N45">
        <f t="shared" si="7"/>
        <v>8125</v>
      </c>
      <c r="O45">
        <f t="shared" si="8"/>
        <v>5654.9999999999991</v>
      </c>
      <c r="P45">
        <f t="shared" si="9"/>
        <v>2470.0000000000009</v>
      </c>
      <c r="Q45">
        <f t="shared" si="10"/>
        <v>0.3040000000000001</v>
      </c>
      <c r="R45" t="str">
        <f t="shared" si="11"/>
        <v>Alta</v>
      </c>
      <c r="S45" t="str">
        <f t="shared" si="12"/>
        <v>Mediana</v>
      </c>
      <c r="T45" t="str">
        <f t="shared" si="13"/>
        <v>Media</v>
      </c>
      <c r="U45" t="s">
        <v>25</v>
      </c>
    </row>
    <row r="46" spans="1:21" x14ac:dyDescent="0.35">
      <c r="A46" t="s">
        <v>83</v>
      </c>
      <c r="B46" s="1">
        <v>46026</v>
      </c>
      <c r="C46" t="s">
        <v>41</v>
      </c>
      <c r="D46" t="s">
        <v>28</v>
      </c>
      <c r="E46" t="str">
        <f>VLOOKUP(D46, '2. Productos'!$A$3:$D$7, 2, FALSE())</f>
        <v>Café especial</v>
      </c>
      <c r="F46" t="str">
        <f>VLOOKUP(D46, '2. Productos'!$A$3:$D$7, 3, FALSE())</f>
        <v>Café</v>
      </c>
      <c r="G46" t="s">
        <v>43</v>
      </c>
      <c r="H46" t="str">
        <f>VLOOKUP(G46, '3. Mercados'!$A$2:$D$7, 2, FALSE())</f>
        <v>Norteamérica</v>
      </c>
      <c r="I46">
        <f>VLOOKUP(G46, '3. Mercados'!$A$2:$D$7, 3, FALSE())</f>
        <v>0.08</v>
      </c>
      <c r="J46" t="str">
        <f>VLOOKUP(G46, '3. Mercados'!$A$2:$D$7, 4, FALSE())</f>
        <v>Potencial</v>
      </c>
      <c r="K46">
        <v>780</v>
      </c>
      <c r="L46">
        <v>6.5</v>
      </c>
      <c r="M46">
        <v>4.0999999999999996</v>
      </c>
      <c r="N46">
        <f t="shared" si="7"/>
        <v>5070</v>
      </c>
      <c r="O46">
        <f t="shared" si="8"/>
        <v>3197.9999999999995</v>
      </c>
      <c r="P46">
        <f t="shared" si="9"/>
        <v>1872.0000000000005</v>
      </c>
      <c r="Q46">
        <f t="shared" si="10"/>
        <v>0.36923076923076931</v>
      </c>
      <c r="R46" t="str">
        <f t="shared" si="11"/>
        <v>Alta</v>
      </c>
      <c r="S46" t="str">
        <f t="shared" si="12"/>
        <v>Mediana</v>
      </c>
      <c r="T46" t="str">
        <f t="shared" si="13"/>
        <v>Media</v>
      </c>
      <c r="U46" t="s">
        <v>30</v>
      </c>
    </row>
    <row r="47" spans="1:21" x14ac:dyDescent="0.35">
      <c r="A47" t="s">
        <v>84</v>
      </c>
      <c r="B47" s="1">
        <v>46033</v>
      </c>
      <c r="C47" t="s">
        <v>27</v>
      </c>
      <c r="D47" t="s">
        <v>37</v>
      </c>
      <c r="E47" t="str">
        <f>VLOOKUP(D47, '2. Productos'!$A$3:$D$7, 2, FALSE())</f>
        <v>Cacao en grano</v>
      </c>
      <c r="F47" t="str">
        <f>VLOOKUP(D47, '2. Productos'!$A$3:$D$7, 3, FALSE())</f>
        <v>Cacao</v>
      </c>
      <c r="G47" t="s">
        <v>29</v>
      </c>
      <c r="H47" t="str">
        <f>VLOOKUP(G47, '3. Mercados'!$A$2:$D$7, 2, FALSE())</f>
        <v>Norteamérica</v>
      </c>
      <c r="I47">
        <f>VLOOKUP(G47, '3. Mercados'!$A$2:$D$7, 3, FALSE())</f>
        <v>0.05</v>
      </c>
      <c r="J47" t="str">
        <f>VLOOKUP(G47, '3. Mercados'!$A$2:$D$7, 4, FALSE())</f>
        <v>Estratégico</v>
      </c>
      <c r="K47">
        <v>1180</v>
      </c>
      <c r="L47">
        <v>7.1</v>
      </c>
      <c r="M47">
        <v>4.8</v>
      </c>
      <c r="N47">
        <f t="shared" si="7"/>
        <v>8378</v>
      </c>
      <c r="O47">
        <f t="shared" si="8"/>
        <v>5664</v>
      </c>
      <c r="P47">
        <f t="shared" si="9"/>
        <v>2714</v>
      </c>
      <c r="Q47">
        <f t="shared" si="10"/>
        <v>0.323943661971831</v>
      </c>
      <c r="R47" t="str">
        <f t="shared" si="11"/>
        <v>Alta</v>
      </c>
      <c r="S47" t="str">
        <f t="shared" si="12"/>
        <v>Mediana</v>
      </c>
      <c r="T47" t="str">
        <f t="shared" si="13"/>
        <v>Alta</v>
      </c>
      <c r="U47" t="s">
        <v>39</v>
      </c>
    </row>
    <row r="48" spans="1:21" x14ac:dyDescent="0.35">
      <c r="A48" t="s">
        <v>85</v>
      </c>
      <c r="B48" s="1">
        <v>46040</v>
      </c>
      <c r="C48" t="s">
        <v>22</v>
      </c>
      <c r="D48" t="s">
        <v>23</v>
      </c>
      <c r="E48" t="str">
        <f>VLOOKUP(D48, '2. Productos'!$A$3:$D$7, 2, FALSE())</f>
        <v>Miel natural</v>
      </c>
      <c r="F48" t="str">
        <f>VLOOKUP(D48, '2. Productos'!$A$3:$D$7, 3, FALSE())</f>
        <v>Apícola</v>
      </c>
      <c r="G48" t="s">
        <v>24</v>
      </c>
      <c r="H48" t="str">
        <f>VLOOKUP(G48, '3. Mercados'!$A$2:$D$7, 2, FALSE())</f>
        <v>Centroamérica</v>
      </c>
      <c r="I48">
        <f>VLOOKUP(G48, '3. Mercados'!$A$2:$D$7, 3, FALSE())</f>
        <v>0.03</v>
      </c>
      <c r="J48" t="str">
        <f>VLOOKUP(G48, '3. Mercados'!$A$2:$D$7, 4, FALSE())</f>
        <v>Estratégico</v>
      </c>
      <c r="K48">
        <v>920</v>
      </c>
      <c r="L48">
        <v>4.8</v>
      </c>
      <c r="M48">
        <v>3.2</v>
      </c>
      <c r="N48">
        <f t="shared" si="7"/>
        <v>4416</v>
      </c>
      <c r="O48">
        <f t="shared" si="8"/>
        <v>2944</v>
      </c>
      <c r="P48">
        <f t="shared" si="9"/>
        <v>1472</v>
      </c>
      <c r="Q48">
        <f t="shared" si="10"/>
        <v>0.33333333333333331</v>
      </c>
      <c r="R48" t="str">
        <f t="shared" si="11"/>
        <v>Alta</v>
      </c>
      <c r="S48" t="str">
        <f t="shared" si="12"/>
        <v>Pequeña</v>
      </c>
      <c r="T48" t="str">
        <f t="shared" si="13"/>
        <v>Alta</v>
      </c>
      <c r="U48" t="s">
        <v>25</v>
      </c>
    </row>
    <row r="49" spans="1:21" x14ac:dyDescent="0.35">
      <c r="A49" t="s">
        <v>86</v>
      </c>
      <c r="B49" s="1">
        <v>46048</v>
      </c>
      <c r="C49" t="s">
        <v>32</v>
      </c>
      <c r="D49" t="s">
        <v>33</v>
      </c>
      <c r="E49" t="str">
        <f>VLOOKUP(D49, '2. Productos'!$A$3:$D$7, 2, FALSE())</f>
        <v>Maní procesado</v>
      </c>
      <c r="F49" t="str">
        <f>VLOOKUP(D49, '2. Productos'!$A$3:$D$7, 3, FALSE())</f>
        <v>Semillas</v>
      </c>
      <c r="G49" t="s">
        <v>34</v>
      </c>
      <c r="H49" t="str">
        <f>VLOOKUP(G49, '3. Mercados'!$A$2:$D$7, 2, FALSE())</f>
        <v>Centroamérica</v>
      </c>
      <c r="I49">
        <f>VLOOKUP(G49, '3. Mercados'!$A$2:$D$7, 3, FALSE())</f>
        <v>0.02</v>
      </c>
      <c r="J49" t="str">
        <f>VLOOKUP(G49, '3. Mercados'!$A$2:$D$7, 4, FALSE())</f>
        <v>Estratégico</v>
      </c>
      <c r="K49">
        <v>680</v>
      </c>
      <c r="L49">
        <v>8.1999999999999993</v>
      </c>
      <c r="M49">
        <v>5.9</v>
      </c>
      <c r="N49">
        <f t="shared" si="7"/>
        <v>5575.9999999999991</v>
      </c>
      <c r="O49">
        <f t="shared" si="8"/>
        <v>4012.0000000000005</v>
      </c>
      <c r="P49">
        <f t="shared" si="9"/>
        <v>1563.9999999999986</v>
      </c>
      <c r="Q49">
        <f t="shared" si="10"/>
        <v>0.28048780487804859</v>
      </c>
      <c r="R49" t="str">
        <f t="shared" si="11"/>
        <v>Media</v>
      </c>
      <c r="S49" t="str">
        <f t="shared" si="12"/>
        <v>Mediana</v>
      </c>
      <c r="T49" t="str">
        <f t="shared" si="13"/>
        <v>Media</v>
      </c>
      <c r="U49" t="s">
        <v>30</v>
      </c>
    </row>
    <row r="50" spans="1:21" x14ac:dyDescent="0.35">
      <c r="A50" t="s">
        <v>87</v>
      </c>
      <c r="B50" s="1">
        <v>46057</v>
      </c>
      <c r="C50" t="s">
        <v>36</v>
      </c>
      <c r="D50" t="s">
        <v>28</v>
      </c>
      <c r="E50" t="str">
        <f>VLOOKUP(D50, '2. Productos'!$A$3:$D$7, 2, FALSE())</f>
        <v>Café especial</v>
      </c>
      <c r="F50" t="str">
        <f>VLOOKUP(D50, '2. Productos'!$A$3:$D$7, 3, FALSE())</f>
        <v>Café</v>
      </c>
      <c r="G50" t="s">
        <v>38</v>
      </c>
      <c r="H50" t="str">
        <f>VLOOKUP(G50, '3. Mercados'!$A$2:$D$7, 2, FALSE())</f>
        <v>Europa</v>
      </c>
      <c r="I50">
        <f>VLOOKUP(G50, '3. Mercados'!$A$2:$D$7, 3, FALSE())</f>
        <v>0.1</v>
      </c>
      <c r="J50" t="str">
        <f>VLOOKUP(G50, '3. Mercados'!$A$2:$D$7, 4, FALSE())</f>
        <v>Potencial</v>
      </c>
      <c r="K50">
        <v>1080</v>
      </c>
      <c r="L50">
        <v>6.5</v>
      </c>
      <c r="M50">
        <v>4.0999999999999996</v>
      </c>
      <c r="N50">
        <f t="shared" si="7"/>
        <v>7020</v>
      </c>
      <c r="O50">
        <f t="shared" si="8"/>
        <v>4428</v>
      </c>
      <c r="P50">
        <f t="shared" si="9"/>
        <v>2592</v>
      </c>
      <c r="Q50">
        <f t="shared" si="10"/>
        <v>0.36923076923076925</v>
      </c>
      <c r="R50" t="str">
        <f t="shared" si="11"/>
        <v>Alta</v>
      </c>
      <c r="S50" t="str">
        <f t="shared" si="12"/>
        <v>Mediana</v>
      </c>
      <c r="T50" t="str">
        <f t="shared" si="13"/>
        <v>Media</v>
      </c>
      <c r="U50" t="s">
        <v>25</v>
      </c>
    </row>
    <row r="51" spans="1:21" x14ac:dyDescent="0.35">
      <c r="A51" t="s">
        <v>88</v>
      </c>
      <c r="B51" s="1">
        <v>46065</v>
      </c>
      <c r="C51" t="s">
        <v>41</v>
      </c>
      <c r="D51" t="s">
        <v>42</v>
      </c>
      <c r="E51" t="str">
        <f>VLOOKUP(D51, '2. Productos'!$A$3:$D$7, 2, FALSE())</f>
        <v>Aceite de ajonjolí</v>
      </c>
      <c r="F51" t="str">
        <f>VLOOKUP(D51, '2. Productos'!$A$3:$D$7, 3, FALSE())</f>
        <v>Aceites</v>
      </c>
      <c r="G51" t="s">
        <v>43</v>
      </c>
      <c r="H51" t="str">
        <f>VLOOKUP(G51, '3. Mercados'!$A$2:$D$7, 2, FALSE())</f>
        <v>Norteamérica</v>
      </c>
      <c r="I51">
        <f>VLOOKUP(G51, '3. Mercados'!$A$2:$D$7, 3, FALSE())</f>
        <v>0.08</v>
      </c>
      <c r="J51" t="str">
        <f>VLOOKUP(G51, '3. Mercados'!$A$2:$D$7, 4, FALSE())</f>
        <v>Potencial</v>
      </c>
      <c r="K51">
        <v>520</v>
      </c>
      <c r="L51">
        <v>12.5</v>
      </c>
      <c r="M51">
        <v>8.6999999999999993</v>
      </c>
      <c r="N51">
        <f t="shared" si="7"/>
        <v>6500</v>
      </c>
      <c r="O51">
        <f t="shared" si="8"/>
        <v>4524</v>
      </c>
      <c r="P51">
        <f t="shared" si="9"/>
        <v>1976</v>
      </c>
      <c r="Q51">
        <f t="shared" si="10"/>
        <v>0.30399999999999999</v>
      </c>
      <c r="R51" t="str">
        <f t="shared" si="11"/>
        <v>Alta</v>
      </c>
      <c r="S51" t="str">
        <f t="shared" si="12"/>
        <v>Mediana</v>
      </c>
      <c r="T51" t="str">
        <f t="shared" si="13"/>
        <v>Media</v>
      </c>
      <c r="U51" t="s">
        <v>30</v>
      </c>
    </row>
    <row r="52" spans="1:21" x14ac:dyDescent="0.35">
      <c r="A52" t="s">
        <v>89</v>
      </c>
      <c r="B52" s="1">
        <v>46074</v>
      </c>
      <c r="C52" t="s">
        <v>27</v>
      </c>
      <c r="D52" t="s">
        <v>23</v>
      </c>
      <c r="E52" t="str">
        <f>VLOOKUP(D52, '2. Productos'!$A$3:$D$7, 2, FALSE())</f>
        <v>Miel natural</v>
      </c>
      <c r="F52" t="str">
        <f>VLOOKUP(D52, '2. Productos'!$A$3:$D$7, 3, FALSE())</f>
        <v>Apícola</v>
      </c>
      <c r="G52" t="s">
        <v>29</v>
      </c>
      <c r="H52" t="str">
        <f>VLOOKUP(G52, '3. Mercados'!$A$2:$D$7, 2, FALSE())</f>
        <v>Norteamérica</v>
      </c>
      <c r="I52">
        <f>VLOOKUP(G52, '3. Mercados'!$A$2:$D$7, 3, FALSE())</f>
        <v>0.05</v>
      </c>
      <c r="J52" t="str">
        <f>VLOOKUP(G52, '3. Mercados'!$A$2:$D$7, 4, FALSE())</f>
        <v>Estratégico</v>
      </c>
      <c r="K52">
        <v>1450</v>
      </c>
      <c r="L52">
        <v>4.8</v>
      </c>
      <c r="M52">
        <v>3.2</v>
      </c>
      <c r="N52">
        <f t="shared" si="7"/>
        <v>6960</v>
      </c>
      <c r="O52">
        <f t="shared" si="8"/>
        <v>4640</v>
      </c>
      <c r="P52">
        <f t="shared" si="9"/>
        <v>2320</v>
      </c>
      <c r="Q52">
        <f t="shared" si="10"/>
        <v>0.33333333333333331</v>
      </c>
      <c r="R52" t="str">
        <f t="shared" si="11"/>
        <v>Alta</v>
      </c>
      <c r="S52" t="str">
        <f t="shared" si="12"/>
        <v>Mediana</v>
      </c>
      <c r="T52" t="str">
        <f t="shared" si="13"/>
        <v>Alta</v>
      </c>
      <c r="U52" t="s">
        <v>30</v>
      </c>
    </row>
    <row r="53" spans="1:21" x14ac:dyDescent="0.35">
      <c r="A53" t="s">
        <v>90</v>
      </c>
      <c r="B53" s="1">
        <v>46082</v>
      </c>
      <c r="C53" t="s">
        <v>22</v>
      </c>
      <c r="D53" t="s">
        <v>37</v>
      </c>
      <c r="E53" t="str">
        <f>VLOOKUP(D53, '2. Productos'!$A$3:$D$7, 2, FALSE())</f>
        <v>Cacao en grano</v>
      </c>
      <c r="F53" t="str">
        <f>VLOOKUP(D53, '2. Productos'!$A$3:$D$7, 3, FALSE())</f>
        <v>Cacao</v>
      </c>
      <c r="G53" t="s">
        <v>24</v>
      </c>
      <c r="H53" t="str">
        <f>VLOOKUP(G53, '3. Mercados'!$A$2:$D$7, 2, FALSE())</f>
        <v>Centroamérica</v>
      </c>
      <c r="I53">
        <f>VLOOKUP(G53, '3. Mercados'!$A$2:$D$7, 3, FALSE())</f>
        <v>0.03</v>
      </c>
      <c r="J53" t="str">
        <f>VLOOKUP(G53, '3. Mercados'!$A$2:$D$7, 4, FALSE())</f>
        <v>Estratégico</v>
      </c>
      <c r="K53">
        <v>880</v>
      </c>
      <c r="L53">
        <v>7.1</v>
      </c>
      <c r="M53">
        <v>4.8</v>
      </c>
      <c r="N53">
        <f t="shared" si="7"/>
        <v>6248</v>
      </c>
      <c r="O53">
        <f t="shared" si="8"/>
        <v>4224</v>
      </c>
      <c r="P53">
        <f t="shared" si="9"/>
        <v>2024</v>
      </c>
      <c r="Q53">
        <f t="shared" si="10"/>
        <v>0.323943661971831</v>
      </c>
      <c r="R53" t="str">
        <f t="shared" si="11"/>
        <v>Alta</v>
      </c>
      <c r="S53" t="str">
        <f t="shared" si="12"/>
        <v>Mediana</v>
      </c>
      <c r="T53" t="str">
        <f t="shared" si="13"/>
        <v>Alta</v>
      </c>
      <c r="U53" t="s">
        <v>39</v>
      </c>
    </row>
    <row r="54" spans="1:21" x14ac:dyDescent="0.35">
      <c r="A54" t="s">
        <v>91</v>
      </c>
      <c r="B54" s="1">
        <v>46091</v>
      </c>
      <c r="C54" t="s">
        <v>32</v>
      </c>
      <c r="D54" t="s">
        <v>28</v>
      </c>
      <c r="E54" t="str">
        <f>VLOOKUP(D54, '2. Productos'!$A$3:$D$7, 2, FALSE())</f>
        <v>Café especial</v>
      </c>
      <c r="F54" t="str">
        <f>VLOOKUP(D54, '2. Productos'!$A$3:$D$7, 3, FALSE())</f>
        <v>Café</v>
      </c>
      <c r="G54" t="s">
        <v>34</v>
      </c>
      <c r="H54" t="str">
        <f>VLOOKUP(G54, '3. Mercados'!$A$2:$D$7, 2, FALSE())</f>
        <v>Centroamérica</v>
      </c>
      <c r="I54">
        <f>VLOOKUP(G54, '3. Mercados'!$A$2:$D$7, 3, FALSE())</f>
        <v>0.02</v>
      </c>
      <c r="J54" t="str">
        <f>VLOOKUP(G54, '3. Mercados'!$A$2:$D$7, 4, FALSE())</f>
        <v>Estratégico</v>
      </c>
      <c r="K54">
        <v>970</v>
      </c>
      <c r="L54">
        <v>6.5</v>
      </c>
      <c r="M54">
        <v>4.0999999999999996</v>
      </c>
      <c r="N54">
        <f t="shared" si="7"/>
        <v>6305</v>
      </c>
      <c r="O54">
        <f t="shared" si="8"/>
        <v>3976.9999999999995</v>
      </c>
      <c r="P54">
        <f t="shared" si="9"/>
        <v>2328.0000000000005</v>
      </c>
      <c r="Q54">
        <f t="shared" si="10"/>
        <v>0.36923076923076931</v>
      </c>
      <c r="R54" t="str">
        <f t="shared" si="11"/>
        <v>Alta</v>
      </c>
      <c r="S54" t="str">
        <f t="shared" si="12"/>
        <v>Mediana</v>
      </c>
      <c r="T54" t="str">
        <f t="shared" si="13"/>
        <v>Alta</v>
      </c>
      <c r="U54" t="s">
        <v>25</v>
      </c>
    </row>
    <row r="55" spans="1:21" x14ac:dyDescent="0.35">
      <c r="A55" t="s">
        <v>92</v>
      </c>
      <c r="B55" s="1">
        <v>46100</v>
      </c>
      <c r="C55" t="s">
        <v>36</v>
      </c>
      <c r="D55" t="s">
        <v>33</v>
      </c>
      <c r="E55" t="str">
        <f>VLOOKUP(D55, '2. Productos'!$A$3:$D$7, 2, FALSE())</f>
        <v>Maní procesado</v>
      </c>
      <c r="F55" t="str">
        <f>VLOOKUP(D55, '2. Productos'!$A$3:$D$7, 3, FALSE())</f>
        <v>Semillas</v>
      </c>
      <c r="G55" t="s">
        <v>38</v>
      </c>
      <c r="H55" t="str">
        <f>VLOOKUP(G55, '3. Mercados'!$A$2:$D$7, 2, FALSE())</f>
        <v>Europa</v>
      </c>
      <c r="I55">
        <f>VLOOKUP(G55, '3. Mercados'!$A$2:$D$7, 3, FALSE())</f>
        <v>0.1</v>
      </c>
      <c r="J55" t="str">
        <f>VLOOKUP(G55, '3. Mercados'!$A$2:$D$7, 4, FALSE())</f>
        <v>Potencial</v>
      </c>
      <c r="K55">
        <v>760</v>
      </c>
      <c r="L55">
        <v>8.1999999999999993</v>
      </c>
      <c r="M55">
        <v>5.9</v>
      </c>
      <c r="N55">
        <f t="shared" si="7"/>
        <v>6231.9999999999991</v>
      </c>
      <c r="O55">
        <f t="shared" si="8"/>
        <v>4484</v>
      </c>
      <c r="P55">
        <f t="shared" si="9"/>
        <v>1747.9999999999991</v>
      </c>
      <c r="Q55">
        <f t="shared" si="10"/>
        <v>0.2804878048780487</v>
      </c>
      <c r="R55" t="str">
        <f t="shared" si="11"/>
        <v>Media</v>
      </c>
      <c r="S55" t="str">
        <f t="shared" si="12"/>
        <v>Mediana</v>
      </c>
      <c r="T55" t="str">
        <f t="shared" si="13"/>
        <v>Baja</v>
      </c>
      <c r="U55" t="s">
        <v>30</v>
      </c>
    </row>
    <row r="56" spans="1:21" x14ac:dyDescent="0.35">
      <c r="A56" t="s">
        <v>93</v>
      </c>
      <c r="B56" s="1">
        <v>46109</v>
      </c>
      <c r="C56" t="s">
        <v>41</v>
      </c>
      <c r="D56" t="s">
        <v>23</v>
      </c>
      <c r="E56" t="str">
        <f>VLOOKUP(D56, '2. Productos'!$A$3:$D$7, 2, FALSE())</f>
        <v>Miel natural</v>
      </c>
      <c r="F56" t="str">
        <f>VLOOKUP(D56, '2. Productos'!$A$3:$D$7, 3, FALSE())</f>
        <v>Apícola</v>
      </c>
      <c r="G56" t="s">
        <v>43</v>
      </c>
      <c r="H56" t="str">
        <f>VLOOKUP(G56, '3. Mercados'!$A$2:$D$7, 2, FALSE())</f>
        <v>Norteamérica</v>
      </c>
      <c r="I56">
        <f>VLOOKUP(G56, '3. Mercados'!$A$2:$D$7, 3, FALSE())</f>
        <v>0.08</v>
      </c>
      <c r="J56" t="str">
        <f>VLOOKUP(G56, '3. Mercados'!$A$2:$D$7, 4, FALSE())</f>
        <v>Potencial</v>
      </c>
      <c r="K56">
        <v>620</v>
      </c>
      <c r="L56">
        <v>4.8</v>
      </c>
      <c r="M56">
        <v>3.2</v>
      </c>
      <c r="N56">
        <f t="shared" si="7"/>
        <v>2976</v>
      </c>
      <c r="O56">
        <f t="shared" si="8"/>
        <v>1984</v>
      </c>
      <c r="P56">
        <f t="shared" si="9"/>
        <v>992</v>
      </c>
      <c r="Q56">
        <f t="shared" si="10"/>
        <v>0.33333333333333331</v>
      </c>
      <c r="R56" t="str">
        <f t="shared" si="11"/>
        <v>Alta</v>
      </c>
      <c r="S56" t="str">
        <f t="shared" si="12"/>
        <v>Pequeña</v>
      </c>
      <c r="T56" t="str">
        <f t="shared" si="13"/>
        <v>Media</v>
      </c>
      <c r="U56" t="s">
        <v>25</v>
      </c>
    </row>
    <row r="57" spans="1:21" x14ac:dyDescent="0.35">
      <c r="A57" t="s">
        <v>94</v>
      </c>
      <c r="B57" s="1">
        <v>46118</v>
      </c>
      <c r="C57" t="s">
        <v>27</v>
      </c>
      <c r="D57" t="s">
        <v>42</v>
      </c>
      <c r="E57" t="str">
        <f>VLOOKUP(D57, '2. Productos'!$A$3:$D$7, 2, FALSE())</f>
        <v>Aceite de ajonjolí</v>
      </c>
      <c r="F57" t="str">
        <f>VLOOKUP(D57, '2. Productos'!$A$3:$D$7, 3, FALSE())</f>
        <v>Aceites</v>
      </c>
      <c r="G57" t="s">
        <v>29</v>
      </c>
      <c r="H57" t="str">
        <f>VLOOKUP(G57, '3. Mercados'!$A$2:$D$7, 2, FALSE())</f>
        <v>Norteamérica</v>
      </c>
      <c r="I57">
        <f>VLOOKUP(G57, '3. Mercados'!$A$2:$D$7, 3, FALSE())</f>
        <v>0.05</v>
      </c>
      <c r="J57" t="str">
        <f>VLOOKUP(G57, '3. Mercados'!$A$2:$D$7, 4, FALSE())</f>
        <v>Estratégico</v>
      </c>
      <c r="K57">
        <v>820</v>
      </c>
      <c r="L57">
        <v>12.5</v>
      </c>
      <c r="M57">
        <v>8.6999999999999993</v>
      </c>
      <c r="N57">
        <f t="shared" si="7"/>
        <v>10250</v>
      </c>
      <c r="O57">
        <f t="shared" si="8"/>
        <v>7133.9999999999991</v>
      </c>
      <c r="P57">
        <f t="shared" si="9"/>
        <v>3116.0000000000009</v>
      </c>
      <c r="Q57">
        <f t="shared" si="10"/>
        <v>0.3040000000000001</v>
      </c>
      <c r="R57" t="str">
        <f t="shared" si="11"/>
        <v>Alta</v>
      </c>
      <c r="S57" t="str">
        <f t="shared" si="12"/>
        <v>Grande</v>
      </c>
      <c r="T57" t="str">
        <f t="shared" si="13"/>
        <v>Alta</v>
      </c>
      <c r="U57" t="s">
        <v>30</v>
      </c>
    </row>
    <row r="58" spans="1:21" x14ac:dyDescent="0.35">
      <c r="A58" t="s">
        <v>95</v>
      </c>
      <c r="B58" s="1">
        <v>46127</v>
      </c>
      <c r="C58" t="s">
        <v>22</v>
      </c>
      <c r="D58" t="s">
        <v>28</v>
      </c>
      <c r="E58" t="str">
        <f>VLOOKUP(D58, '2. Productos'!$A$3:$D$7, 2, FALSE())</f>
        <v>Café especial</v>
      </c>
      <c r="F58" t="str">
        <f>VLOOKUP(D58, '2. Productos'!$A$3:$D$7, 3, FALSE())</f>
        <v>Café</v>
      </c>
      <c r="G58" t="s">
        <v>24</v>
      </c>
      <c r="H58" t="str">
        <f>VLOOKUP(G58, '3. Mercados'!$A$2:$D$7, 2, FALSE())</f>
        <v>Centroamérica</v>
      </c>
      <c r="I58">
        <f>VLOOKUP(G58, '3. Mercados'!$A$2:$D$7, 3, FALSE())</f>
        <v>0.03</v>
      </c>
      <c r="J58" t="str">
        <f>VLOOKUP(G58, '3. Mercados'!$A$2:$D$7, 4, FALSE())</f>
        <v>Estratégico</v>
      </c>
      <c r="K58">
        <v>1250</v>
      </c>
      <c r="L58">
        <v>6.5</v>
      </c>
      <c r="M58">
        <v>4.0999999999999996</v>
      </c>
      <c r="N58">
        <f t="shared" si="7"/>
        <v>8125</v>
      </c>
      <c r="O58">
        <f t="shared" si="8"/>
        <v>5125</v>
      </c>
      <c r="P58">
        <f t="shared" si="9"/>
        <v>3000</v>
      </c>
      <c r="Q58">
        <f t="shared" si="10"/>
        <v>0.36923076923076925</v>
      </c>
      <c r="R58" t="str">
        <f t="shared" si="11"/>
        <v>Alta</v>
      </c>
      <c r="S58" t="str">
        <f t="shared" si="12"/>
        <v>Mediana</v>
      </c>
      <c r="T58" t="str">
        <f t="shared" si="13"/>
        <v>Alta</v>
      </c>
      <c r="U58" t="s">
        <v>30</v>
      </c>
    </row>
    <row r="59" spans="1:21" x14ac:dyDescent="0.35">
      <c r="A59" t="s">
        <v>96</v>
      </c>
      <c r="B59" s="1">
        <v>46136</v>
      </c>
      <c r="C59" t="s">
        <v>32</v>
      </c>
      <c r="D59" t="s">
        <v>37</v>
      </c>
      <c r="E59" t="str">
        <f>VLOOKUP(D59, '2. Productos'!$A$3:$D$7, 2, FALSE())</f>
        <v>Cacao en grano</v>
      </c>
      <c r="F59" t="str">
        <f>VLOOKUP(D59, '2. Productos'!$A$3:$D$7, 3, FALSE())</f>
        <v>Cacao</v>
      </c>
      <c r="G59" t="s">
        <v>34</v>
      </c>
      <c r="H59" t="str">
        <f>VLOOKUP(G59, '3. Mercados'!$A$2:$D$7, 2, FALSE())</f>
        <v>Centroamérica</v>
      </c>
      <c r="I59">
        <f>VLOOKUP(G59, '3. Mercados'!$A$2:$D$7, 3, FALSE())</f>
        <v>0.02</v>
      </c>
      <c r="J59" t="str">
        <f>VLOOKUP(G59, '3. Mercados'!$A$2:$D$7, 4, FALSE())</f>
        <v>Estratégico</v>
      </c>
      <c r="K59">
        <v>790</v>
      </c>
      <c r="L59">
        <v>7.1</v>
      </c>
      <c r="M59">
        <v>4.8</v>
      </c>
      <c r="N59">
        <f t="shared" si="7"/>
        <v>5609</v>
      </c>
      <c r="O59">
        <f t="shared" si="8"/>
        <v>3792</v>
      </c>
      <c r="P59">
        <f t="shared" si="9"/>
        <v>1817</v>
      </c>
      <c r="Q59">
        <f t="shared" si="10"/>
        <v>0.323943661971831</v>
      </c>
      <c r="R59" t="str">
        <f t="shared" si="11"/>
        <v>Alta</v>
      </c>
      <c r="S59" t="str">
        <f t="shared" si="12"/>
        <v>Mediana</v>
      </c>
      <c r="T59" t="str">
        <f t="shared" si="13"/>
        <v>Alta</v>
      </c>
      <c r="U59" t="s">
        <v>25</v>
      </c>
    </row>
    <row r="60" spans="1:21" x14ac:dyDescent="0.35">
      <c r="A60" t="s">
        <v>97</v>
      </c>
      <c r="B60" s="1">
        <v>46145</v>
      </c>
      <c r="C60" t="s">
        <v>36</v>
      </c>
      <c r="D60" t="s">
        <v>23</v>
      </c>
      <c r="E60" t="str">
        <f>VLOOKUP(D60, '2. Productos'!$A$3:$D$7, 2, FALSE())</f>
        <v>Miel natural</v>
      </c>
      <c r="F60" t="str">
        <f>VLOOKUP(D60, '2. Productos'!$A$3:$D$7, 3, FALSE())</f>
        <v>Apícola</v>
      </c>
      <c r="G60" t="s">
        <v>38</v>
      </c>
      <c r="H60" t="str">
        <f>VLOOKUP(G60, '3. Mercados'!$A$2:$D$7, 2, FALSE())</f>
        <v>Europa</v>
      </c>
      <c r="I60">
        <f>VLOOKUP(G60, '3. Mercados'!$A$2:$D$7, 3, FALSE())</f>
        <v>0.1</v>
      </c>
      <c r="J60" t="str">
        <f>VLOOKUP(G60, '3. Mercados'!$A$2:$D$7, 4, FALSE())</f>
        <v>Potencial</v>
      </c>
      <c r="K60">
        <v>980</v>
      </c>
      <c r="L60">
        <v>4.8</v>
      </c>
      <c r="M60">
        <v>3.2</v>
      </c>
      <c r="N60">
        <f t="shared" si="7"/>
        <v>4704</v>
      </c>
      <c r="O60">
        <f t="shared" si="8"/>
        <v>3136</v>
      </c>
      <c r="P60">
        <f t="shared" si="9"/>
        <v>1568</v>
      </c>
      <c r="Q60">
        <f t="shared" si="10"/>
        <v>0.33333333333333331</v>
      </c>
      <c r="R60" t="str">
        <f t="shared" si="11"/>
        <v>Alta</v>
      </c>
      <c r="S60" t="str">
        <f t="shared" si="12"/>
        <v>Pequeña</v>
      </c>
      <c r="T60" t="str">
        <f t="shared" si="13"/>
        <v>Media</v>
      </c>
      <c r="U60" t="s">
        <v>39</v>
      </c>
    </row>
    <row r="61" spans="1:21" x14ac:dyDescent="0.35">
      <c r="A61" t="s">
        <v>98</v>
      </c>
      <c r="B61" s="1">
        <v>46154</v>
      </c>
      <c r="C61" t="s">
        <v>41</v>
      </c>
      <c r="D61" t="s">
        <v>33</v>
      </c>
      <c r="E61" t="str">
        <f>VLOOKUP(D61, '2. Productos'!$A$3:$D$7, 2, FALSE())</f>
        <v>Maní procesado</v>
      </c>
      <c r="F61" t="str">
        <f>VLOOKUP(D61, '2. Productos'!$A$3:$D$7, 3, FALSE())</f>
        <v>Semillas</v>
      </c>
      <c r="G61" t="s">
        <v>43</v>
      </c>
      <c r="H61" t="str">
        <f>VLOOKUP(G61, '3. Mercados'!$A$2:$D$7, 2, FALSE())</f>
        <v>Norteamérica</v>
      </c>
      <c r="I61">
        <f>VLOOKUP(G61, '3. Mercados'!$A$2:$D$7, 3, FALSE())</f>
        <v>0.08</v>
      </c>
      <c r="J61" t="str">
        <f>VLOOKUP(G61, '3. Mercados'!$A$2:$D$7, 4, FALSE())</f>
        <v>Potencial</v>
      </c>
      <c r="K61">
        <v>730</v>
      </c>
      <c r="L61">
        <v>8.1999999999999993</v>
      </c>
      <c r="M61">
        <v>5.9</v>
      </c>
      <c r="N61">
        <f t="shared" si="7"/>
        <v>5985.9999999999991</v>
      </c>
      <c r="O61">
        <f t="shared" si="8"/>
        <v>4307</v>
      </c>
      <c r="P61">
        <f t="shared" si="9"/>
        <v>1678.9999999999991</v>
      </c>
      <c r="Q61">
        <f t="shared" si="10"/>
        <v>0.2804878048780487</v>
      </c>
      <c r="R61" t="str">
        <f t="shared" si="11"/>
        <v>Media</v>
      </c>
      <c r="S61" t="str">
        <f t="shared" si="12"/>
        <v>Mediana</v>
      </c>
      <c r="T61" t="str">
        <f t="shared" si="13"/>
        <v>Baja</v>
      </c>
      <c r="U61" t="s">
        <v>30</v>
      </c>
    </row>
    <row r="62" spans="1:21" x14ac:dyDescent="0.35">
      <c r="A62" t="s">
        <v>99</v>
      </c>
      <c r="B62" s="1">
        <v>46163</v>
      </c>
      <c r="C62" t="s">
        <v>27</v>
      </c>
      <c r="D62" t="s">
        <v>28</v>
      </c>
      <c r="E62" t="str">
        <f>VLOOKUP(D62, '2. Productos'!$A$3:$D$7, 2, FALSE())</f>
        <v>Café especial</v>
      </c>
      <c r="F62" t="str">
        <f>VLOOKUP(D62, '2. Productos'!$A$3:$D$7, 3, FALSE())</f>
        <v>Café</v>
      </c>
      <c r="G62" t="s">
        <v>29</v>
      </c>
      <c r="H62" t="str">
        <f>VLOOKUP(G62, '3. Mercados'!$A$2:$D$7, 2, FALSE())</f>
        <v>Norteamérica</v>
      </c>
      <c r="I62">
        <f>VLOOKUP(G62, '3. Mercados'!$A$2:$D$7, 3, FALSE())</f>
        <v>0.05</v>
      </c>
      <c r="J62" t="str">
        <f>VLOOKUP(G62, '3. Mercados'!$A$2:$D$7, 4, FALSE())</f>
        <v>Estratégico</v>
      </c>
      <c r="K62">
        <v>1320</v>
      </c>
      <c r="L62">
        <v>6.5</v>
      </c>
      <c r="M62">
        <v>4.0999999999999996</v>
      </c>
      <c r="N62">
        <f t="shared" si="7"/>
        <v>8580</v>
      </c>
      <c r="O62">
        <f t="shared" si="8"/>
        <v>5411.9999999999991</v>
      </c>
      <c r="P62">
        <f t="shared" si="9"/>
        <v>3168.0000000000009</v>
      </c>
      <c r="Q62">
        <f t="shared" si="10"/>
        <v>0.36923076923076936</v>
      </c>
      <c r="R62" t="str">
        <f t="shared" si="11"/>
        <v>Alta</v>
      </c>
      <c r="S62" t="str">
        <f t="shared" si="12"/>
        <v>Mediana</v>
      </c>
      <c r="T62" t="str">
        <f t="shared" si="13"/>
        <v>Alta</v>
      </c>
      <c r="U62" t="s">
        <v>25</v>
      </c>
    </row>
    <row r="63" spans="1:21" x14ac:dyDescent="0.35">
      <c r="A63" t="s">
        <v>100</v>
      </c>
      <c r="B63" s="1">
        <v>46172</v>
      </c>
      <c r="C63" t="s">
        <v>22</v>
      </c>
      <c r="D63" t="s">
        <v>42</v>
      </c>
      <c r="E63" t="str">
        <f>VLOOKUP(D63, '2. Productos'!$A$3:$D$7, 2, FALSE())</f>
        <v>Aceite de ajonjolí</v>
      </c>
      <c r="F63" t="str">
        <f>VLOOKUP(D63, '2. Productos'!$A$3:$D$7, 3, FALSE())</f>
        <v>Aceites</v>
      </c>
      <c r="G63" t="s">
        <v>24</v>
      </c>
      <c r="H63" t="str">
        <f>VLOOKUP(G63, '3. Mercados'!$A$2:$D$7, 2, FALSE())</f>
        <v>Centroamérica</v>
      </c>
      <c r="I63">
        <f>VLOOKUP(G63, '3. Mercados'!$A$2:$D$7, 3, FALSE())</f>
        <v>0.03</v>
      </c>
      <c r="J63" t="str">
        <f>VLOOKUP(G63, '3. Mercados'!$A$2:$D$7, 4, FALSE())</f>
        <v>Estratégico</v>
      </c>
      <c r="K63">
        <v>470</v>
      </c>
      <c r="L63">
        <v>12.5</v>
      </c>
      <c r="M63">
        <v>8.6999999999999993</v>
      </c>
      <c r="N63">
        <f t="shared" si="7"/>
        <v>5875</v>
      </c>
      <c r="O63">
        <f t="shared" si="8"/>
        <v>4088.9999999999995</v>
      </c>
      <c r="P63">
        <f t="shared" si="9"/>
        <v>1786.0000000000005</v>
      </c>
      <c r="Q63">
        <f t="shared" si="10"/>
        <v>0.3040000000000001</v>
      </c>
      <c r="R63" t="str">
        <f t="shared" si="11"/>
        <v>Alta</v>
      </c>
      <c r="S63" t="str">
        <f t="shared" si="12"/>
        <v>Mediana</v>
      </c>
      <c r="T63" t="str">
        <f t="shared" si="13"/>
        <v>Alta</v>
      </c>
      <c r="U63" t="s">
        <v>30</v>
      </c>
    </row>
    <row r="64" spans="1:21" x14ac:dyDescent="0.35">
      <c r="A64" t="s">
        <v>101</v>
      </c>
      <c r="B64" s="1">
        <v>46181</v>
      </c>
      <c r="C64" t="s">
        <v>32</v>
      </c>
      <c r="D64" t="s">
        <v>23</v>
      </c>
      <c r="E64" t="str">
        <f>VLOOKUP(D64, '2. Productos'!$A$3:$D$7, 2, FALSE())</f>
        <v>Miel natural</v>
      </c>
      <c r="F64" t="str">
        <f>VLOOKUP(D64, '2. Productos'!$A$3:$D$7, 3, FALSE())</f>
        <v>Apícola</v>
      </c>
      <c r="G64" t="s">
        <v>34</v>
      </c>
      <c r="H64" t="str">
        <f>VLOOKUP(G64, '3. Mercados'!$A$2:$D$7, 2, FALSE())</f>
        <v>Centroamérica</v>
      </c>
      <c r="I64">
        <f>VLOOKUP(G64, '3. Mercados'!$A$2:$D$7, 3, FALSE())</f>
        <v>0.02</v>
      </c>
      <c r="J64" t="str">
        <f>VLOOKUP(G64, '3. Mercados'!$A$2:$D$7, 4, FALSE())</f>
        <v>Estratégico</v>
      </c>
      <c r="K64">
        <v>860</v>
      </c>
      <c r="L64">
        <v>4.8</v>
      </c>
      <c r="M64">
        <v>3.2</v>
      </c>
      <c r="N64">
        <f t="shared" si="7"/>
        <v>4128</v>
      </c>
      <c r="O64">
        <f t="shared" si="8"/>
        <v>2752</v>
      </c>
      <c r="P64">
        <f t="shared" si="9"/>
        <v>1376</v>
      </c>
      <c r="Q64">
        <f t="shared" si="10"/>
        <v>0.33333333333333331</v>
      </c>
      <c r="R64" t="str">
        <f t="shared" si="11"/>
        <v>Alta</v>
      </c>
      <c r="S64" t="str">
        <f t="shared" si="12"/>
        <v>Pequeña</v>
      </c>
      <c r="T64" t="str">
        <f t="shared" si="13"/>
        <v>Alta</v>
      </c>
      <c r="U64" t="s">
        <v>30</v>
      </c>
    </row>
    <row r="65" spans="1:21" x14ac:dyDescent="0.35">
      <c r="A65" t="s">
        <v>102</v>
      </c>
      <c r="B65" s="1">
        <v>46190</v>
      </c>
      <c r="C65" t="s">
        <v>36</v>
      </c>
      <c r="D65" t="s">
        <v>37</v>
      </c>
      <c r="E65" t="str">
        <f>VLOOKUP(D65, '2. Productos'!$A$3:$D$7, 2, FALSE())</f>
        <v>Cacao en grano</v>
      </c>
      <c r="F65" t="str">
        <f>VLOOKUP(D65, '2. Productos'!$A$3:$D$7, 3, FALSE())</f>
        <v>Cacao</v>
      </c>
      <c r="G65" t="s">
        <v>38</v>
      </c>
      <c r="H65" t="str">
        <f>VLOOKUP(G65, '3. Mercados'!$A$2:$D$7, 2, FALSE())</f>
        <v>Europa</v>
      </c>
      <c r="I65">
        <f>VLOOKUP(G65, '3. Mercados'!$A$2:$D$7, 3, FALSE())</f>
        <v>0.1</v>
      </c>
      <c r="J65" t="str">
        <f>VLOOKUP(G65, '3. Mercados'!$A$2:$D$7, 4, FALSE())</f>
        <v>Potencial</v>
      </c>
      <c r="K65">
        <v>1040</v>
      </c>
      <c r="L65">
        <v>7.1</v>
      </c>
      <c r="M65">
        <v>4.8</v>
      </c>
      <c r="N65">
        <f t="shared" si="7"/>
        <v>7384</v>
      </c>
      <c r="O65">
        <f t="shared" si="8"/>
        <v>4992</v>
      </c>
      <c r="P65">
        <f t="shared" si="9"/>
        <v>2392</v>
      </c>
      <c r="Q65">
        <f t="shared" si="10"/>
        <v>0.323943661971831</v>
      </c>
      <c r="R65" t="str">
        <f t="shared" si="11"/>
        <v>Alta</v>
      </c>
      <c r="S65" t="str">
        <f t="shared" si="12"/>
        <v>Mediana</v>
      </c>
      <c r="T65" t="str">
        <f t="shared" si="13"/>
        <v>Media</v>
      </c>
      <c r="U65" t="s">
        <v>25</v>
      </c>
    </row>
    <row r="66" spans="1:21" x14ac:dyDescent="0.35">
      <c r="A66" t="s">
        <v>103</v>
      </c>
      <c r="B66" s="1">
        <v>46199</v>
      </c>
      <c r="C66" t="s">
        <v>41</v>
      </c>
      <c r="D66" t="s">
        <v>28</v>
      </c>
      <c r="E66" t="str">
        <f>VLOOKUP(D66, '2. Productos'!$A$3:$D$7, 2, FALSE())</f>
        <v>Café especial</v>
      </c>
      <c r="F66" t="str">
        <f>VLOOKUP(D66, '2. Productos'!$A$3:$D$7, 3, FALSE())</f>
        <v>Café</v>
      </c>
      <c r="G66" t="s">
        <v>43</v>
      </c>
      <c r="H66" t="str">
        <f>VLOOKUP(G66, '3. Mercados'!$A$2:$D$7, 2, FALSE())</f>
        <v>Norteamérica</v>
      </c>
      <c r="I66">
        <f>VLOOKUP(G66, '3. Mercados'!$A$2:$D$7, 3, FALSE())</f>
        <v>0.08</v>
      </c>
      <c r="J66" t="str">
        <f>VLOOKUP(G66, '3. Mercados'!$A$2:$D$7, 4, FALSE())</f>
        <v>Potencial</v>
      </c>
      <c r="K66">
        <v>890</v>
      </c>
      <c r="L66">
        <v>6.5</v>
      </c>
      <c r="M66">
        <v>4.0999999999999996</v>
      </c>
      <c r="N66">
        <f t="shared" ref="N66:N101" si="14">K66*L66</f>
        <v>5785</v>
      </c>
      <c r="O66">
        <f t="shared" ref="O66:O101" si="15">K66*M66</f>
        <v>3648.9999999999995</v>
      </c>
      <c r="P66">
        <f t="shared" ref="P66:P97" si="16">N66-O66</f>
        <v>2136.0000000000005</v>
      </c>
      <c r="Q66">
        <f t="shared" ref="Q66:Q97" si="17">P66/N66</f>
        <v>0.36923076923076931</v>
      </c>
      <c r="R66" t="str">
        <f t="shared" ref="R66:R97" si="18">IF(Q66&gt;=0.3, "Alta", IF(Q66&gt;=0.15, "Media", "Baja"))</f>
        <v>Alta</v>
      </c>
      <c r="S66" t="str">
        <f t="shared" ref="S66:S101" si="19">IF(N66&gt;=10000, "Grande", IF(N66&gt;=5000, "Mediana", "Pequeña"))</f>
        <v>Mediana</v>
      </c>
      <c r="T66" t="str">
        <f t="shared" ref="T66:T101" si="20">IF(AND(J66="Estratégico", Q66&gt;=0.3), "Alta", IF(AND(J66="Estratégico", Q66&lt;0.3), "Media", IF(AND(J66="Potencial", Q66&gt;=0.3), "Media", "Baja")))</f>
        <v>Media</v>
      </c>
      <c r="U66" t="s">
        <v>39</v>
      </c>
    </row>
    <row r="67" spans="1:21" x14ac:dyDescent="0.35">
      <c r="A67" t="s">
        <v>104</v>
      </c>
      <c r="B67" s="1">
        <v>46208</v>
      </c>
      <c r="C67" t="s">
        <v>27</v>
      </c>
      <c r="D67" t="s">
        <v>33</v>
      </c>
      <c r="E67" t="str">
        <f>VLOOKUP(D67, '2. Productos'!$A$3:$D$7, 2, FALSE())</f>
        <v>Maní procesado</v>
      </c>
      <c r="F67" t="str">
        <f>VLOOKUP(D67, '2. Productos'!$A$3:$D$7, 3, FALSE())</f>
        <v>Semillas</v>
      </c>
      <c r="G67" t="s">
        <v>29</v>
      </c>
      <c r="H67" t="str">
        <f>VLOOKUP(G67, '3. Mercados'!$A$2:$D$7, 2, FALSE())</f>
        <v>Norteamérica</v>
      </c>
      <c r="I67">
        <f>VLOOKUP(G67, '3. Mercados'!$A$2:$D$7, 3, FALSE())</f>
        <v>0.05</v>
      </c>
      <c r="J67" t="str">
        <f>VLOOKUP(G67, '3. Mercados'!$A$2:$D$7, 4, FALSE())</f>
        <v>Estratégico</v>
      </c>
      <c r="K67">
        <v>1170</v>
      </c>
      <c r="L67">
        <v>8.1999999999999993</v>
      </c>
      <c r="M67">
        <v>5.9</v>
      </c>
      <c r="N67">
        <f t="shared" si="14"/>
        <v>9594</v>
      </c>
      <c r="O67">
        <f t="shared" si="15"/>
        <v>6903</v>
      </c>
      <c r="P67">
        <f t="shared" si="16"/>
        <v>2691</v>
      </c>
      <c r="Q67">
        <f t="shared" si="17"/>
        <v>0.28048780487804881</v>
      </c>
      <c r="R67" t="str">
        <f t="shared" si="18"/>
        <v>Media</v>
      </c>
      <c r="S67" t="str">
        <f t="shared" si="19"/>
        <v>Mediana</v>
      </c>
      <c r="T67" t="str">
        <f t="shared" si="20"/>
        <v>Media</v>
      </c>
      <c r="U67" t="s">
        <v>30</v>
      </c>
    </row>
    <row r="68" spans="1:21" x14ac:dyDescent="0.35">
      <c r="A68" t="s">
        <v>105</v>
      </c>
      <c r="B68" s="1">
        <v>46217</v>
      </c>
      <c r="C68" t="s">
        <v>22</v>
      </c>
      <c r="D68" t="s">
        <v>23</v>
      </c>
      <c r="E68" t="str">
        <f>VLOOKUP(D68, '2. Productos'!$A$3:$D$7, 2, FALSE())</f>
        <v>Miel natural</v>
      </c>
      <c r="F68" t="str">
        <f>VLOOKUP(D68, '2. Productos'!$A$3:$D$7, 3, FALSE())</f>
        <v>Apícola</v>
      </c>
      <c r="G68" t="s">
        <v>24</v>
      </c>
      <c r="H68" t="str">
        <f>VLOOKUP(G68, '3. Mercados'!$A$2:$D$7, 2, FALSE())</f>
        <v>Centroamérica</v>
      </c>
      <c r="I68">
        <f>VLOOKUP(G68, '3. Mercados'!$A$2:$D$7, 3, FALSE())</f>
        <v>0.03</v>
      </c>
      <c r="J68" t="str">
        <f>VLOOKUP(G68, '3. Mercados'!$A$2:$D$7, 4, FALSE())</f>
        <v>Estratégico</v>
      </c>
      <c r="K68">
        <v>760</v>
      </c>
      <c r="L68">
        <v>4.8</v>
      </c>
      <c r="M68">
        <v>3.2</v>
      </c>
      <c r="N68">
        <f t="shared" si="14"/>
        <v>3648</v>
      </c>
      <c r="O68">
        <f t="shared" si="15"/>
        <v>2432</v>
      </c>
      <c r="P68">
        <f t="shared" si="16"/>
        <v>1216</v>
      </c>
      <c r="Q68">
        <f t="shared" si="17"/>
        <v>0.33333333333333331</v>
      </c>
      <c r="R68" t="str">
        <f t="shared" si="18"/>
        <v>Alta</v>
      </c>
      <c r="S68" t="str">
        <f t="shared" si="19"/>
        <v>Pequeña</v>
      </c>
      <c r="T68" t="str">
        <f t="shared" si="20"/>
        <v>Alta</v>
      </c>
      <c r="U68" t="s">
        <v>25</v>
      </c>
    </row>
    <row r="69" spans="1:21" x14ac:dyDescent="0.35">
      <c r="A69" t="s">
        <v>106</v>
      </c>
      <c r="B69" s="1">
        <v>46226</v>
      </c>
      <c r="C69" t="s">
        <v>32</v>
      </c>
      <c r="D69" t="s">
        <v>42</v>
      </c>
      <c r="E69" t="str">
        <f>VLOOKUP(D69, '2. Productos'!$A$3:$D$7, 2, FALSE())</f>
        <v>Aceite de ajonjolí</v>
      </c>
      <c r="F69" t="str">
        <f>VLOOKUP(D69, '2. Productos'!$A$3:$D$7, 3, FALSE())</f>
        <v>Aceites</v>
      </c>
      <c r="G69" t="s">
        <v>34</v>
      </c>
      <c r="H69" t="str">
        <f>VLOOKUP(G69, '3. Mercados'!$A$2:$D$7, 2, FALSE())</f>
        <v>Centroamérica</v>
      </c>
      <c r="I69">
        <f>VLOOKUP(G69, '3. Mercados'!$A$2:$D$7, 3, FALSE())</f>
        <v>0.02</v>
      </c>
      <c r="J69" t="str">
        <f>VLOOKUP(G69, '3. Mercados'!$A$2:$D$7, 4, FALSE())</f>
        <v>Estratégico</v>
      </c>
      <c r="K69">
        <v>540</v>
      </c>
      <c r="L69">
        <v>12.5</v>
      </c>
      <c r="M69">
        <v>8.6999999999999993</v>
      </c>
      <c r="N69">
        <f t="shared" si="14"/>
        <v>6750</v>
      </c>
      <c r="O69">
        <f t="shared" si="15"/>
        <v>4698</v>
      </c>
      <c r="P69">
        <f t="shared" si="16"/>
        <v>2052</v>
      </c>
      <c r="Q69">
        <f t="shared" si="17"/>
        <v>0.30399999999999999</v>
      </c>
      <c r="R69" t="str">
        <f t="shared" si="18"/>
        <v>Alta</v>
      </c>
      <c r="S69" t="str">
        <f t="shared" si="19"/>
        <v>Mediana</v>
      </c>
      <c r="T69" t="str">
        <f t="shared" si="20"/>
        <v>Alta</v>
      </c>
      <c r="U69" t="s">
        <v>30</v>
      </c>
    </row>
    <row r="70" spans="1:21" x14ac:dyDescent="0.35">
      <c r="A70" t="s">
        <v>107</v>
      </c>
      <c r="B70" s="1">
        <v>46235</v>
      </c>
      <c r="C70" t="s">
        <v>36</v>
      </c>
      <c r="D70" t="s">
        <v>28</v>
      </c>
      <c r="E70" t="str">
        <f>VLOOKUP(D70, '2. Productos'!$A$3:$D$7, 2, FALSE())</f>
        <v>Café especial</v>
      </c>
      <c r="F70" t="str">
        <f>VLOOKUP(D70, '2. Productos'!$A$3:$D$7, 3, FALSE())</f>
        <v>Café</v>
      </c>
      <c r="G70" t="s">
        <v>38</v>
      </c>
      <c r="H70" t="str">
        <f>VLOOKUP(G70, '3. Mercados'!$A$2:$D$7, 2, FALSE())</f>
        <v>Europa</v>
      </c>
      <c r="I70">
        <f>VLOOKUP(G70, '3. Mercados'!$A$2:$D$7, 3, FALSE())</f>
        <v>0.1</v>
      </c>
      <c r="J70" t="str">
        <f>VLOOKUP(G70, '3. Mercados'!$A$2:$D$7, 4, FALSE())</f>
        <v>Potencial</v>
      </c>
      <c r="K70">
        <v>1280</v>
      </c>
      <c r="L70">
        <v>6.5</v>
      </c>
      <c r="M70">
        <v>4.0999999999999996</v>
      </c>
      <c r="N70">
        <f t="shared" si="14"/>
        <v>8320</v>
      </c>
      <c r="O70">
        <f t="shared" si="15"/>
        <v>5248</v>
      </c>
      <c r="P70">
        <f t="shared" si="16"/>
        <v>3072</v>
      </c>
      <c r="Q70">
        <f t="shared" si="17"/>
        <v>0.36923076923076925</v>
      </c>
      <c r="R70" t="str">
        <f t="shared" si="18"/>
        <v>Alta</v>
      </c>
      <c r="S70" t="str">
        <f t="shared" si="19"/>
        <v>Mediana</v>
      </c>
      <c r="T70" t="str">
        <f t="shared" si="20"/>
        <v>Media</v>
      </c>
      <c r="U70" t="s">
        <v>25</v>
      </c>
    </row>
    <row r="71" spans="1:21" x14ac:dyDescent="0.35">
      <c r="A71" t="s">
        <v>108</v>
      </c>
      <c r="B71" s="1">
        <v>46244</v>
      </c>
      <c r="C71" t="s">
        <v>41</v>
      </c>
      <c r="D71" t="s">
        <v>37</v>
      </c>
      <c r="E71" t="str">
        <f>VLOOKUP(D71, '2. Productos'!$A$3:$D$7, 2, FALSE())</f>
        <v>Cacao en grano</v>
      </c>
      <c r="F71" t="str">
        <f>VLOOKUP(D71, '2. Productos'!$A$3:$D$7, 3, FALSE())</f>
        <v>Cacao</v>
      </c>
      <c r="G71" t="s">
        <v>43</v>
      </c>
      <c r="H71" t="str">
        <f>VLOOKUP(G71, '3. Mercados'!$A$2:$D$7, 2, FALSE())</f>
        <v>Norteamérica</v>
      </c>
      <c r="I71">
        <f>VLOOKUP(G71, '3. Mercados'!$A$2:$D$7, 3, FALSE())</f>
        <v>0.08</v>
      </c>
      <c r="J71" t="str">
        <f>VLOOKUP(G71, '3. Mercados'!$A$2:$D$7, 4, FALSE())</f>
        <v>Potencial</v>
      </c>
      <c r="K71">
        <v>930</v>
      </c>
      <c r="L71">
        <v>7.1</v>
      </c>
      <c r="M71">
        <v>4.8</v>
      </c>
      <c r="N71">
        <f t="shared" si="14"/>
        <v>6603</v>
      </c>
      <c r="O71">
        <f t="shared" si="15"/>
        <v>4464</v>
      </c>
      <c r="P71">
        <f t="shared" si="16"/>
        <v>2139</v>
      </c>
      <c r="Q71">
        <f t="shared" si="17"/>
        <v>0.323943661971831</v>
      </c>
      <c r="R71" t="str">
        <f t="shared" si="18"/>
        <v>Alta</v>
      </c>
      <c r="S71" t="str">
        <f t="shared" si="19"/>
        <v>Mediana</v>
      </c>
      <c r="T71" t="str">
        <f t="shared" si="20"/>
        <v>Media</v>
      </c>
      <c r="U71" t="s">
        <v>30</v>
      </c>
    </row>
    <row r="72" spans="1:21" x14ac:dyDescent="0.35">
      <c r="A72" t="s">
        <v>109</v>
      </c>
      <c r="B72" s="1">
        <v>46253</v>
      </c>
      <c r="C72" t="s">
        <v>27</v>
      </c>
      <c r="D72" t="s">
        <v>23</v>
      </c>
      <c r="E72" t="str">
        <f>VLOOKUP(D72, '2. Productos'!$A$3:$D$7, 2, FALSE())</f>
        <v>Miel natural</v>
      </c>
      <c r="F72" t="str">
        <f>VLOOKUP(D72, '2. Productos'!$A$3:$D$7, 3, FALSE())</f>
        <v>Apícola</v>
      </c>
      <c r="G72" t="s">
        <v>29</v>
      </c>
      <c r="H72" t="str">
        <f>VLOOKUP(G72, '3. Mercados'!$A$2:$D$7, 2, FALSE())</f>
        <v>Norteamérica</v>
      </c>
      <c r="I72">
        <f>VLOOKUP(G72, '3. Mercados'!$A$2:$D$7, 3, FALSE())</f>
        <v>0.05</v>
      </c>
      <c r="J72" t="str">
        <f>VLOOKUP(G72, '3. Mercados'!$A$2:$D$7, 4, FALSE())</f>
        <v>Estratégico</v>
      </c>
      <c r="K72">
        <v>1550</v>
      </c>
      <c r="L72">
        <v>4.8</v>
      </c>
      <c r="M72">
        <v>3.2</v>
      </c>
      <c r="N72">
        <f t="shared" si="14"/>
        <v>7440</v>
      </c>
      <c r="O72">
        <f t="shared" si="15"/>
        <v>4960</v>
      </c>
      <c r="P72">
        <f t="shared" si="16"/>
        <v>2480</v>
      </c>
      <c r="Q72">
        <f t="shared" si="17"/>
        <v>0.33333333333333331</v>
      </c>
      <c r="R72" t="str">
        <f t="shared" si="18"/>
        <v>Alta</v>
      </c>
      <c r="S72" t="str">
        <f t="shared" si="19"/>
        <v>Mediana</v>
      </c>
      <c r="T72" t="str">
        <f t="shared" si="20"/>
        <v>Alta</v>
      </c>
      <c r="U72" t="s">
        <v>30</v>
      </c>
    </row>
    <row r="73" spans="1:21" x14ac:dyDescent="0.35">
      <c r="A73" t="s">
        <v>110</v>
      </c>
      <c r="B73" s="1">
        <v>46262</v>
      </c>
      <c r="C73" t="s">
        <v>22</v>
      </c>
      <c r="D73" t="s">
        <v>33</v>
      </c>
      <c r="E73" t="str">
        <f>VLOOKUP(D73, '2. Productos'!$A$3:$D$7, 2, FALSE())</f>
        <v>Maní procesado</v>
      </c>
      <c r="F73" t="str">
        <f>VLOOKUP(D73, '2. Productos'!$A$3:$D$7, 3, FALSE())</f>
        <v>Semillas</v>
      </c>
      <c r="G73" t="s">
        <v>24</v>
      </c>
      <c r="H73" t="str">
        <f>VLOOKUP(G73, '3. Mercados'!$A$2:$D$7, 2, FALSE())</f>
        <v>Centroamérica</v>
      </c>
      <c r="I73">
        <f>VLOOKUP(G73, '3. Mercados'!$A$2:$D$7, 3, FALSE())</f>
        <v>0.03</v>
      </c>
      <c r="J73" t="str">
        <f>VLOOKUP(G73, '3. Mercados'!$A$2:$D$7, 4, FALSE())</f>
        <v>Estratégico</v>
      </c>
      <c r="K73">
        <v>690</v>
      </c>
      <c r="L73">
        <v>8.1999999999999993</v>
      </c>
      <c r="M73">
        <v>5.9</v>
      </c>
      <c r="N73">
        <f t="shared" si="14"/>
        <v>5657.9999999999991</v>
      </c>
      <c r="O73">
        <f t="shared" si="15"/>
        <v>4071.0000000000005</v>
      </c>
      <c r="P73">
        <f t="shared" si="16"/>
        <v>1586.9999999999986</v>
      </c>
      <c r="Q73">
        <f t="shared" si="17"/>
        <v>0.28048780487804859</v>
      </c>
      <c r="R73" t="str">
        <f t="shared" si="18"/>
        <v>Media</v>
      </c>
      <c r="S73" t="str">
        <f t="shared" si="19"/>
        <v>Mediana</v>
      </c>
      <c r="T73" t="str">
        <f t="shared" si="20"/>
        <v>Media</v>
      </c>
      <c r="U73" t="s">
        <v>39</v>
      </c>
    </row>
    <row r="74" spans="1:21" x14ac:dyDescent="0.35">
      <c r="A74" t="s">
        <v>111</v>
      </c>
      <c r="B74" s="1">
        <v>46271</v>
      </c>
      <c r="C74" t="s">
        <v>32</v>
      </c>
      <c r="D74" t="s">
        <v>28</v>
      </c>
      <c r="E74" t="str">
        <f>VLOOKUP(D74, '2. Productos'!$A$3:$D$7, 2, FALSE())</f>
        <v>Café especial</v>
      </c>
      <c r="F74" t="str">
        <f>VLOOKUP(D74, '2. Productos'!$A$3:$D$7, 3, FALSE())</f>
        <v>Café</v>
      </c>
      <c r="G74" t="s">
        <v>34</v>
      </c>
      <c r="H74" t="str">
        <f>VLOOKUP(G74, '3. Mercados'!$A$2:$D$7, 2, FALSE())</f>
        <v>Centroamérica</v>
      </c>
      <c r="I74">
        <f>VLOOKUP(G74, '3. Mercados'!$A$2:$D$7, 3, FALSE())</f>
        <v>0.02</v>
      </c>
      <c r="J74" t="str">
        <f>VLOOKUP(G74, '3. Mercados'!$A$2:$D$7, 4, FALSE())</f>
        <v>Estratégico</v>
      </c>
      <c r="K74">
        <v>1020</v>
      </c>
      <c r="L74">
        <v>6.5</v>
      </c>
      <c r="M74">
        <v>4.0999999999999996</v>
      </c>
      <c r="N74">
        <f t="shared" si="14"/>
        <v>6630</v>
      </c>
      <c r="O74">
        <f t="shared" si="15"/>
        <v>4182</v>
      </c>
      <c r="P74">
        <f t="shared" si="16"/>
        <v>2448</v>
      </c>
      <c r="Q74">
        <f t="shared" si="17"/>
        <v>0.36923076923076925</v>
      </c>
      <c r="R74" t="str">
        <f t="shared" si="18"/>
        <v>Alta</v>
      </c>
      <c r="S74" t="str">
        <f t="shared" si="19"/>
        <v>Mediana</v>
      </c>
      <c r="T74" t="str">
        <f t="shared" si="20"/>
        <v>Alta</v>
      </c>
      <c r="U74" t="s">
        <v>25</v>
      </c>
    </row>
    <row r="75" spans="1:21" x14ac:dyDescent="0.35">
      <c r="A75" t="s">
        <v>112</v>
      </c>
      <c r="B75" s="1">
        <v>46280</v>
      </c>
      <c r="C75" t="s">
        <v>36</v>
      </c>
      <c r="D75" t="s">
        <v>42</v>
      </c>
      <c r="E75" t="str">
        <f>VLOOKUP(D75, '2. Productos'!$A$3:$D$7, 2, FALSE())</f>
        <v>Aceite de ajonjolí</v>
      </c>
      <c r="F75" t="str">
        <f>VLOOKUP(D75, '2. Productos'!$A$3:$D$7, 3, FALSE())</f>
        <v>Aceites</v>
      </c>
      <c r="G75" t="s">
        <v>38</v>
      </c>
      <c r="H75" t="str">
        <f>VLOOKUP(G75, '3. Mercados'!$A$2:$D$7, 2, FALSE())</f>
        <v>Europa</v>
      </c>
      <c r="I75">
        <f>VLOOKUP(G75, '3. Mercados'!$A$2:$D$7, 3, FALSE())</f>
        <v>0.1</v>
      </c>
      <c r="J75" t="str">
        <f>VLOOKUP(G75, '3. Mercados'!$A$2:$D$7, 4, FALSE())</f>
        <v>Potencial</v>
      </c>
      <c r="K75">
        <v>610</v>
      </c>
      <c r="L75">
        <v>12.5</v>
      </c>
      <c r="M75">
        <v>8.6999999999999993</v>
      </c>
      <c r="N75">
        <f t="shared" si="14"/>
        <v>7625</v>
      </c>
      <c r="O75">
        <f t="shared" si="15"/>
        <v>5307</v>
      </c>
      <c r="P75">
        <f t="shared" si="16"/>
        <v>2318</v>
      </c>
      <c r="Q75">
        <f t="shared" si="17"/>
        <v>0.30399999999999999</v>
      </c>
      <c r="R75" t="str">
        <f t="shared" si="18"/>
        <v>Alta</v>
      </c>
      <c r="S75" t="str">
        <f t="shared" si="19"/>
        <v>Mediana</v>
      </c>
      <c r="T75" t="str">
        <f t="shared" si="20"/>
        <v>Media</v>
      </c>
      <c r="U75" t="s">
        <v>30</v>
      </c>
    </row>
    <row r="76" spans="1:21" x14ac:dyDescent="0.35">
      <c r="A76" t="s">
        <v>113</v>
      </c>
      <c r="B76" s="1">
        <v>46289</v>
      </c>
      <c r="C76" t="s">
        <v>41</v>
      </c>
      <c r="D76" t="s">
        <v>23</v>
      </c>
      <c r="E76" t="str">
        <f>VLOOKUP(D76, '2. Productos'!$A$3:$D$7, 2, FALSE())</f>
        <v>Miel natural</v>
      </c>
      <c r="F76" t="str">
        <f>VLOOKUP(D76, '2. Productos'!$A$3:$D$7, 3, FALSE())</f>
        <v>Apícola</v>
      </c>
      <c r="G76" t="s">
        <v>43</v>
      </c>
      <c r="H76" t="str">
        <f>VLOOKUP(G76, '3. Mercados'!$A$2:$D$7, 2, FALSE())</f>
        <v>Norteamérica</v>
      </c>
      <c r="I76">
        <f>VLOOKUP(G76, '3. Mercados'!$A$2:$D$7, 3, FALSE())</f>
        <v>0.08</v>
      </c>
      <c r="J76" t="str">
        <f>VLOOKUP(G76, '3. Mercados'!$A$2:$D$7, 4, FALSE())</f>
        <v>Potencial</v>
      </c>
      <c r="K76">
        <v>840</v>
      </c>
      <c r="L76">
        <v>4.8</v>
      </c>
      <c r="M76">
        <v>3.2</v>
      </c>
      <c r="N76">
        <f t="shared" si="14"/>
        <v>4032</v>
      </c>
      <c r="O76">
        <f t="shared" si="15"/>
        <v>2688</v>
      </c>
      <c r="P76">
        <f t="shared" si="16"/>
        <v>1344</v>
      </c>
      <c r="Q76">
        <f t="shared" si="17"/>
        <v>0.33333333333333331</v>
      </c>
      <c r="R76" t="str">
        <f t="shared" si="18"/>
        <v>Alta</v>
      </c>
      <c r="S76" t="str">
        <f t="shared" si="19"/>
        <v>Pequeña</v>
      </c>
      <c r="T76" t="str">
        <f t="shared" si="20"/>
        <v>Media</v>
      </c>
      <c r="U76" t="s">
        <v>25</v>
      </c>
    </row>
    <row r="77" spans="1:21" x14ac:dyDescent="0.35">
      <c r="A77" t="s">
        <v>114</v>
      </c>
      <c r="B77" s="1">
        <v>46298</v>
      </c>
      <c r="C77" t="s">
        <v>27</v>
      </c>
      <c r="D77" t="s">
        <v>37</v>
      </c>
      <c r="E77" t="str">
        <f>VLOOKUP(D77, '2. Productos'!$A$3:$D$7, 2, FALSE())</f>
        <v>Cacao en grano</v>
      </c>
      <c r="F77" t="str">
        <f>VLOOKUP(D77, '2. Productos'!$A$3:$D$7, 3, FALSE())</f>
        <v>Cacao</v>
      </c>
      <c r="G77" t="s">
        <v>29</v>
      </c>
      <c r="H77" t="str">
        <f>VLOOKUP(G77, '3. Mercados'!$A$2:$D$7, 2, FALSE())</f>
        <v>Norteamérica</v>
      </c>
      <c r="I77">
        <f>VLOOKUP(G77, '3. Mercados'!$A$2:$D$7, 3, FALSE())</f>
        <v>0.05</v>
      </c>
      <c r="J77" t="str">
        <f>VLOOKUP(G77, '3. Mercados'!$A$2:$D$7, 4, FALSE())</f>
        <v>Estratégico</v>
      </c>
      <c r="K77">
        <v>1210</v>
      </c>
      <c r="L77">
        <v>7.1</v>
      </c>
      <c r="M77">
        <v>4.8</v>
      </c>
      <c r="N77">
        <f t="shared" si="14"/>
        <v>8591</v>
      </c>
      <c r="O77">
        <f t="shared" si="15"/>
        <v>5808</v>
      </c>
      <c r="P77">
        <f t="shared" si="16"/>
        <v>2783</v>
      </c>
      <c r="Q77">
        <f t="shared" si="17"/>
        <v>0.323943661971831</v>
      </c>
      <c r="R77" t="str">
        <f t="shared" si="18"/>
        <v>Alta</v>
      </c>
      <c r="S77" t="str">
        <f t="shared" si="19"/>
        <v>Mediana</v>
      </c>
      <c r="T77" t="str">
        <f t="shared" si="20"/>
        <v>Alta</v>
      </c>
      <c r="U77" t="s">
        <v>30</v>
      </c>
    </row>
    <row r="78" spans="1:21" x14ac:dyDescent="0.35">
      <c r="A78" t="s">
        <v>115</v>
      </c>
      <c r="B78" s="1">
        <v>46307</v>
      </c>
      <c r="C78" t="s">
        <v>22</v>
      </c>
      <c r="D78" t="s">
        <v>28</v>
      </c>
      <c r="E78" t="str">
        <f>VLOOKUP(D78, '2. Productos'!$A$3:$D$7, 2, FALSE())</f>
        <v>Café especial</v>
      </c>
      <c r="F78" t="str">
        <f>VLOOKUP(D78, '2. Productos'!$A$3:$D$7, 3, FALSE())</f>
        <v>Café</v>
      </c>
      <c r="G78" t="s">
        <v>24</v>
      </c>
      <c r="H78" t="str">
        <f>VLOOKUP(G78, '3. Mercados'!$A$2:$D$7, 2, FALSE())</f>
        <v>Centroamérica</v>
      </c>
      <c r="I78">
        <f>VLOOKUP(G78, '3. Mercados'!$A$2:$D$7, 3, FALSE())</f>
        <v>0.03</v>
      </c>
      <c r="J78" t="str">
        <f>VLOOKUP(G78, '3. Mercados'!$A$2:$D$7, 4, FALSE())</f>
        <v>Estratégico</v>
      </c>
      <c r="K78">
        <v>1080</v>
      </c>
      <c r="L78">
        <v>6.5</v>
      </c>
      <c r="M78">
        <v>4.0999999999999996</v>
      </c>
      <c r="N78">
        <f t="shared" si="14"/>
        <v>7020</v>
      </c>
      <c r="O78">
        <f t="shared" si="15"/>
        <v>4428</v>
      </c>
      <c r="P78">
        <f t="shared" si="16"/>
        <v>2592</v>
      </c>
      <c r="Q78">
        <f t="shared" si="17"/>
        <v>0.36923076923076925</v>
      </c>
      <c r="R78" t="str">
        <f t="shared" si="18"/>
        <v>Alta</v>
      </c>
      <c r="S78" t="str">
        <f t="shared" si="19"/>
        <v>Mediana</v>
      </c>
      <c r="T78" t="str">
        <f t="shared" si="20"/>
        <v>Alta</v>
      </c>
      <c r="U78" t="s">
        <v>30</v>
      </c>
    </row>
    <row r="79" spans="1:21" x14ac:dyDescent="0.35">
      <c r="A79" t="s">
        <v>116</v>
      </c>
      <c r="B79" s="1">
        <v>46316</v>
      </c>
      <c r="C79" t="s">
        <v>32</v>
      </c>
      <c r="D79" t="s">
        <v>33</v>
      </c>
      <c r="E79" t="str">
        <f>VLOOKUP(D79, '2. Productos'!$A$3:$D$7, 2, FALSE())</f>
        <v>Maní procesado</v>
      </c>
      <c r="F79" t="str">
        <f>VLOOKUP(D79, '2. Productos'!$A$3:$D$7, 3, FALSE())</f>
        <v>Semillas</v>
      </c>
      <c r="G79" t="s">
        <v>34</v>
      </c>
      <c r="H79" t="str">
        <f>VLOOKUP(G79, '3. Mercados'!$A$2:$D$7, 2, FALSE())</f>
        <v>Centroamérica</v>
      </c>
      <c r="I79">
        <f>VLOOKUP(G79, '3. Mercados'!$A$2:$D$7, 3, FALSE())</f>
        <v>0.02</v>
      </c>
      <c r="J79" t="str">
        <f>VLOOKUP(G79, '3. Mercados'!$A$2:$D$7, 4, FALSE())</f>
        <v>Estratégico</v>
      </c>
      <c r="K79">
        <v>720</v>
      </c>
      <c r="L79">
        <v>8.1999999999999993</v>
      </c>
      <c r="M79">
        <v>5.9</v>
      </c>
      <c r="N79">
        <f t="shared" si="14"/>
        <v>5903.9999999999991</v>
      </c>
      <c r="O79">
        <f t="shared" si="15"/>
        <v>4248</v>
      </c>
      <c r="P79">
        <f t="shared" si="16"/>
        <v>1655.9999999999991</v>
      </c>
      <c r="Q79">
        <f t="shared" si="17"/>
        <v>0.2804878048780487</v>
      </c>
      <c r="R79" t="str">
        <f t="shared" si="18"/>
        <v>Media</v>
      </c>
      <c r="S79" t="str">
        <f t="shared" si="19"/>
        <v>Mediana</v>
      </c>
      <c r="T79" t="str">
        <f t="shared" si="20"/>
        <v>Media</v>
      </c>
      <c r="U79" t="s">
        <v>25</v>
      </c>
    </row>
    <row r="80" spans="1:21" x14ac:dyDescent="0.35">
      <c r="A80" t="s">
        <v>117</v>
      </c>
      <c r="B80" s="1">
        <v>46325</v>
      </c>
      <c r="C80" t="s">
        <v>36</v>
      </c>
      <c r="D80" t="s">
        <v>23</v>
      </c>
      <c r="E80" t="str">
        <f>VLOOKUP(D80, '2. Productos'!$A$3:$D$7, 2, FALSE())</f>
        <v>Miel natural</v>
      </c>
      <c r="F80" t="str">
        <f>VLOOKUP(D80, '2. Productos'!$A$3:$D$7, 3, FALSE())</f>
        <v>Apícola</v>
      </c>
      <c r="G80" t="s">
        <v>38</v>
      </c>
      <c r="H80" t="str">
        <f>VLOOKUP(G80, '3. Mercados'!$A$2:$D$7, 2, FALSE())</f>
        <v>Europa</v>
      </c>
      <c r="I80">
        <f>VLOOKUP(G80, '3. Mercados'!$A$2:$D$7, 3, FALSE())</f>
        <v>0.1</v>
      </c>
      <c r="J80" t="str">
        <f>VLOOKUP(G80, '3. Mercados'!$A$2:$D$7, 4, FALSE())</f>
        <v>Potencial</v>
      </c>
      <c r="K80">
        <v>1160</v>
      </c>
      <c r="L80">
        <v>4.8</v>
      </c>
      <c r="M80">
        <v>3.2</v>
      </c>
      <c r="N80">
        <f t="shared" si="14"/>
        <v>5568</v>
      </c>
      <c r="O80">
        <f t="shared" si="15"/>
        <v>3712</v>
      </c>
      <c r="P80">
        <f t="shared" si="16"/>
        <v>1856</v>
      </c>
      <c r="Q80">
        <f t="shared" si="17"/>
        <v>0.33333333333333331</v>
      </c>
      <c r="R80" t="str">
        <f t="shared" si="18"/>
        <v>Alta</v>
      </c>
      <c r="S80" t="str">
        <f t="shared" si="19"/>
        <v>Mediana</v>
      </c>
      <c r="T80" t="str">
        <f t="shared" si="20"/>
        <v>Media</v>
      </c>
      <c r="U80" t="s">
        <v>39</v>
      </c>
    </row>
    <row r="81" spans="1:21" x14ac:dyDescent="0.35">
      <c r="A81" t="s">
        <v>118</v>
      </c>
      <c r="B81" s="1">
        <v>46334</v>
      </c>
      <c r="C81" t="s">
        <v>41</v>
      </c>
      <c r="D81" t="s">
        <v>42</v>
      </c>
      <c r="E81" t="str">
        <f>VLOOKUP(D81, '2. Productos'!$A$3:$D$7, 2, FALSE())</f>
        <v>Aceite de ajonjolí</v>
      </c>
      <c r="F81" t="str">
        <f>VLOOKUP(D81, '2. Productos'!$A$3:$D$7, 3, FALSE())</f>
        <v>Aceites</v>
      </c>
      <c r="G81" t="s">
        <v>43</v>
      </c>
      <c r="H81" t="str">
        <f>VLOOKUP(G81, '3. Mercados'!$A$2:$D$7, 2, FALSE())</f>
        <v>Norteamérica</v>
      </c>
      <c r="I81">
        <f>VLOOKUP(G81, '3. Mercados'!$A$2:$D$7, 3, FALSE())</f>
        <v>0.08</v>
      </c>
      <c r="J81" t="str">
        <f>VLOOKUP(G81, '3. Mercados'!$A$2:$D$7, 4, FALSE())</f>
        <v>Potencial</v>
      </c>
      <c r="K81">
        <v>560</v>
      </c>
      <c r="L81">
        <v>12.5</v>
      </c>
      <c r="M81">
        <v>8.6999999999999993</v>
      </c>
      <c r="N81">
        <f t="shared" si="14"/>
        <v>7000</v>
      </c>
      <c r="O81">
        <f t="shared" si="15"/>
        <v>4872</v>
      </c>
      <c r="P81">
        <f t="shared" si="16"/>
        <v>2128</v>
      </c>
      <c r="Q81">
        <f t="shared" si="17"/>
        <v>0.30399999999999999</v>
      </c>
      <c r="R81" t="str">
        <f t="shared" si="18"/>
        <v>Alta</v>
      </c>
      <c r="S81" t="str">
        <f t="shared" si="19"/>
        <v>Mediana</v>
      </c>
      <c r="T81" t="str">
        <f t="shared" si="20"/>
        <v>Media</v>
      </c>
      <c r="U81" t="s">
        <v>30</v>
      </c>
    </row>
    <row r="82" spans="1:21" x14ac:dyDescent="0.35">
      <c r="A82" t="s">
        <v>119</v>
      </c>
      <c r="B82" s="1">
        <v>46343</v>
      </c>
      <c r="C82" t="s">
        <v>27</v>
      </c>
      <c r="D82" t="s">
        <v>28</v>
      </c>
      <c r="E82" t="str">
        <f>VLOOKUP(D82, '2. Productos'!$A$3:$D$7, 2, FALSE())</f>
        <v>Café especial</v>
      </c>
      <c r="F82" t="str">
        <f>VLOOKUP(D82, '2. Productos'!$A$3:$D$7, 3, FALSE())</f>
        <v>Café</v>
      </c>
      <c r="G82" t="s">
        <v>29</v>
      </c>
      <c r="H82" t="str">
        <f>VLOOKUP(G82, '3. Mercados'!$A$2:$D$7, 2, FALSE())</f>
        <v>Norteamérica</v>
      </c>
      <c r="I82">
        <f>VLOOKUP(G82, '3. Mercados'!$A$2:$D$7, 3, FALSE())</f>
        <v>0.05</v>
      </c>
      <c r="J82" t="str">
        <f>VLOOKUP(G82, '3. Mercados'!$A$2:$D$7, 4, FALSE())</f>
        <v>Estratégico</v>
      </c>
      <c r="K82">
        <v>1380</v>
      </c>
      <c r="L82">
        <v>6.5</v>
      </c>
      <c r="M82">
        <v>4.0999999999999996</v>
      </c>
      <c r="N82">
        <f t="shared" si="14"/>
        <v>8970</v>
      </c>
      <c r="O82">
        <f t="shared" si="15"/>
        <v>5657.9999999999991</v>
      </c>
      <c r="P82">
        <f t="shared" si="16"/>
        <v>3312.0000000000009</v>
      </c>
      <c r="Q82">
        <f t="shared" si="17"/>
        <v>0.36923076923076931</v>
      </c>
      <c r="R82" t="str">
        <f t="shared" si="18"/>
        <v>Alta</v>
      </c>
      <c r="S82" t="str">
        <f t="shared" si="19"/>
        <v>Mediana</v>
      </c>
      <c r="T82" t="str">
        <f t="shared" si="20"/>
        <v>Alta</v>
      </c>
      <c r="U82" t="s">
        <v>25</v>
      </c>
    </row>
    <row r="83" spans="1:21" x14ac:dyDescent="0.35">
      <c r="A83" t="s">
        <v>120</v>
      </c>
      <c r="B83" s="1">
        <v>46352</v>
      </c>
      <c r="C83" t="s">
        <v>22</v>
      </c>
      <c r="D83" t="s">
        <v>37</v>
      </c>
      <c r="E83" t="str">
        <f>VLOOKUP(D83, '2. Productos'!$A$3:$D$7, 2, FALSE())</f>
        <v>Cacao en grano</v>
      </c>
      <c r="F83" t="str">
        <f>VLOOKUP(D83, '2. Productos'!$A$3:$D$7, 3, FALSE())</f>
        <v>Cacao</v>
      </c>
      <c r="G83" t="s">
        <v>24</v>
      </c>
      <c r="H83" t="str">
        <f>VLOOKUP(G83, '3. Mercados'!$A$2:$D$7, 2, FALSE())</f>
        <v>Centroamérica</v>
      </c>
      <c r="I83">
        <f>VLOOKUP(G83, '3. Mercados'!$A$2:$D$7, 3, FALSE())</f>
        <v>0.03</v>
      </c>
      <c r="J83" t="str">
        <f>VLOOKUP(G83, '3. Mercados'!$A$2:$D$7, 4, FALSE())</f>
        <v>Estratégico</v>
      </c>
      <c r="K83">
        <v>940</v>
      </c>
      <c r="L83">
        <v>7.1</v>
      </c>
      <c r="M83">
        <v>4.8</v>
      </c>
      <c r="N83">
        <f t="shared" si="14"/>
        <v>6674</v>
      </c>
      <c r="O83">
        <f t="shared" si="15"/>
        <v>4512</v>
      </c>
      <c r="P83">
        <f t="shared" si="16"/>
        <v>2162</v>
      </c>
      <c r="Q83">
        <f t="shared" si="17"/>
        <v>0.323943661971831</v>
      </c>
      <c r="R83" t="str">
        <f t="shared" si="18"/>
        <v>Alta</v>
      </c>
      <c r="S83" t="str">
        <f t="shared" si="19"/>
        <v>Mediana</v>
      </c>
      <c r="T83" t="str">
        <f t="shared" si="20"/>
        <v>Alta</v>
      </c>
      <c r="U83" t="s">
        <v>30</v>
      </c>
    </row>
    <row r="84" spans="1:21" x14ac:dyDescent="0.35">
      <c r="A84" t="s">
        <v>121</v>
      </c>
      <c r="B84" s="1">
        <v>46361</v>
      </c>
      <c r="C84" t="s">
        <v>32</v>
      </c>
      <c r="D84" t="s">
        <v>23</v>
      </c>
      <c r="E84" t="str">
        <f>VLOOKUP(D84, '2. Productos'!$A$3:$D$7, 2, FALSE())</f>
        <v>Miel natural</v>
      </c>
      <c r="F84" t="str">
        <f>VLOOKUP(D84, '2. Productos'!$A$3:$D$7, 3, FALSE())</f>
        <v>Apícola</v>
      </c>
      <c r="G84" t="s">
        <v>34</v>
      </c>
      <c r="H84" t="str">
        <f>VLOOKUP(G84, '3. Mercados'!$A$2:$D$7, 2, FALSE())</f>
        <v>Centroamérica</v>
      </c>
      <c r="I84">
        <f>VLOOKUP(G84, '3. Mercados'!$A$2:$D$7, 3, FALSE())</f>
        <v>0.02</v>
      </c>
      <c r="J84" t="str">
        <f>VLOOKUP(G84, '3. Mercados'!$A$2:$D$7, 4, FALSE())</f>
        <v>Estratégico</v>
      </c>
      <c r="K84">
        <v>870</v>
      </c>
      <c r="L84">
        <v>4.8</v>
      </c>
      <c r="M84">
        <v>3.2</v>
      </c>
      <c r="N84">
        <f t="shared" si="14"/>
        <v>4176</v>
      </c>
      <c r="O84">
        <f t="shared" si="15"/>
        <v>2784</v>
      </c>
      <c r="P84">
        <f t="shared" si="16"/>
        <v>1392</v>
      </c>
      <c r="Q84">
        <f t="shared" si="17"/>
        <v>0.33333333333333331</v>
      </c>
      <c r="R84" t="str">
        <f t="shared" si="18"/>
        <v>Alta</v>
      </c>
      <c r="S84" t="str">
        <f t="shared" si="19"/>
        <v>Pequeña</v>
      </c>
      <c r="T84" t="str">
        <f t="shared" si="20"/>
        <v>Alta</v>
      </c>
      <c r="U84" t="s">
        <v>25</v>
      </c>
    </row>
    <row r="85" spans="1:21" x14ac:dyDescent="0.35">
      <c r="A85" t="s">
        <v>122</v>
      </c>
      <c r="B85" s="1">
        <v>46370</v>
      </c>
      <c r="C85" t="s">
        <v>36</v>
      </c>
      <c r="D85" t="s">
        <v>33</v>
      </c>
      <c r="E85" t="str">
        <f>VLOOKUP(D85, '2. Productos'!$A$3:$D$7, 2, FALSE())</f>
        <v>Maní procesado</v>
      </c>
      <c r="F85" t="str">
        <f>VLOOKUP(D85, '2. Productos'!$A$3:$D$7, 3, FALSE())</f>
        <v>Semillas</v>
      </c>
      <c r="G85" t="s">
        <v>38</v>
      </c>
      <c r="H85" t="str">
        <f>VLOOKUP(G85, '3. Mercados'!$A$2:$D$7, 2, FALSE())</f>
        <v>Europa</v>
      </c>
      <c r="I85">
        <f>VLOOKUP(G85, '3. Mercados'!$A$2:$D$7, 3, FALSE())</f>
        <v>0.1</v>
      </c>
      <c r="J85" t="str">
        <f>VLOOKUP(G85, '3. Mercados'!$A$2:$D$7, 4, FALSE())</f>
        <v>Potencial</v>
      </c>
      <c r="K85">
        <v>810</v>
      </c>
      <c r="L85">
        <v>8.1999999999999993</v>
      </c>
      <c r="M85">
        <v>5.9</v>
      </c>
      <c r="N85">
        <f t="shared" si="14"/>
        <v>6641.9999999999991</v>
      </c>
      <c r="O85">
        <f t="shared" si="15"/>
        <v>4779</v>
      </c>
      <c r="P85">
        <f t="shared" si="16"/>
        <v>1862.9999999999991</v>
      </c>
      <c r="Q85">
        <f t="shared" si="17"/>
        <v>0.2804878048780487</v>
      </c>
      <c r="R85" t="str">
        <f t="shared" si="18"/>
        <v>Media</v>
      </c>
      <c r="S85" t="str">
        <f t="shared" si="19"/>
        <v>Mediana</v>
      </c>
      <c r="T85" t="str">
        <f t="shared" si="20"/>
        <v>Baja</v>
      </c>
      <c r="U85" t="s">
        <v>30</v>
      </c>
    </row>
    <row r="86" spans="1:21" x14ac:dyDescent="0.35">
      <c r="A86" t="s">
        <v>123</v>
      </c>
      <c r="B86" s="1">
        <v>46379</v>
      </c>
      <c r="C86" t="s">
        <v>41</v>
      </c>
      <c r="D86" t="s">
        <v>28</v>
      </c>
      <c r="E86" t="str">
        <f>VLOOKUP(D86, '2. Productos'!$A$3:$D$7, 2, FALSE())</f>
        <v>Café especial</v>
      </c>
      <c r="F86" t="str">
        <f>VLOOKUP(D86, '2. Productos'!$A$3:$D$7, 3, FALSE())</f>
        <v>Café</v>
      </c>
      <c r="G86" t="s">
        <v>43</v>
      </c>
      <c r="H86" t="str">
        <f>VLOOKUP(G86, '3. Mercados'!$A$2:$D$7, 2, FALSE())</f>
        <v>Norteamérica</v>
      </c>
      <c r="I86">
        <f>VLOOKUP(G86, '3. Mercados'!$A$2:$D$7, 3, FALSE())</f>
        <v>0.08</v>
      </c>
      <c r="J86" t="str">
        <f>VLOOKUP(G86, '3. Mercados'!$A$2:$D$7, 4, FALSE())</f>
        <v>Potencial</v>
      </c>
      <c r="K86">
        <v>990</v>
      </c>
      <c r="L86">
        <v>6.5</v>
      </c>
      <c r="M86">
        <v>4.0999999999999996</v>
      </c>
      <c r="N86">
        <f t="shared" si="14"/>
        <v>6435</v>
      </c>
      <c r="O86">
        <f t="shared" si="15"/>
        <v>4058.9999999999995</v>
      </c>
      <c r="P86">
        <f t="shared" si="16"/>
        <v>2376.0000000000005</v>
      </c>
      <c r="Q86">
        <f t="shared" si="17"/>
        <v>0.36923076923076931</v>
      </c>
      <c r="R86" t="str">
        <f t="shared" si="18"/>
        <v>Alta</v>
      </c>
      <c r="S86" t="str">
        <f t="shared" si="19"/>
        <v>Mediana</v>
      </c>
      <c r="T86" t="str">
        <f t="shared" si="20"/>
        <v>Media</v>
      </c>
      <c r="U86" t="s">
        <v>39</v>
      </c>
    </row>
    <row r="87" spans="1:21" x14ac:dyDescent="0.35">
      <c r="A87" t="s">
        <v>124</v>
      </c>
      <c r="B87" s="1">
        <v>46386</v>
      </c>
      <c r="C87" t="s">
        <v>27</v>
      </c>
      <c r="D87" t="s">
        <v>42</v>
      </c>
      <c r="E87" t="str">
        <f>VLOOKUP(D87, '2. Productos'!$A$3:$D$7, 2, FALSE())</f>
        <v>Aceite de ajonjolí</v>
      </c>
      <c r="F87" t="str">
        <f>VLOOKUP(D87, '2. Productos'!$A$3:$D$7, 3, FALSE())</f>
        <v>Aceites</v>
      </c>
      <c r="G87" t="s">
        <v>29</v>
      </c>
      <c r="H87" t="str">
        <f>VLOOKUP(G87, '3. Mercados'!$A$2:$D$7, 2, FALSE())</f>
        <v>Norteamérica</v>
      </c>
      <c r="I87">
        <f>VLOOKUP(G87, '3. Mercados'!$A$2:$D$7, 3, FALSE())</f>
        <v>0.05</v>
      </c>
      <c r="J87" t="str">
        <f>VLOOKUP(G87, '3. Mercados'!$A$2:$D$7, 4, FALSE())</f>
        <v>Estratégico</v>
      </c>
      <c r="K87">
        <v>730</v>
      </c>
      <c r="L87">
        <v>12.5</v>
      </c>
      <c r="M87">
        <v>8.6999999999999993</v>
      </c>
      <c r="N87">
        <f t="shared" si="14"/>
        <v>9125</v>
      </c>
      <c r="O87">
        <f t="shared" si="15"/>
        <v>6350.9999999999991</v>
      </c>
      <c r="P87">
        <f t="shared" si="16"/>
        <v>2774.0000000000009</v>
      </c>
      <c r="Q87">
        <f t="shared" si="17"/>
        <v>0.3040000000000001</v>
      </c>
      <c r="R87" t="str">
        <f t="shared" si="18"/>
        <v>Alta</v>
      </c>
      <c r="S87" t="str">
        <f t="shared" si="19"/>
        <v>Mediana</v>
      </c>
      <c r="T87" t="str">
        <f t="shared" si="20"/>
        <v>Alta</v>
      </c>
      <c r="U87" t="s">
        <v>30</v>
      </c>
    </row>
    <row r="88" spans="1:21" x14ac:dyDescent="0.35">
      <c r="A88" t="s">
        <v>125</v>
      </c>
      <c r="B88" s="1">
        <v>46029</v>
      </c>
      <c r="C88" t="s">
        <v>22</v>
      </c>
      <c r="D88" t="s">
        <v>33</v>
      </c>
      <c r="E88" t="str">
        <f>VLOOKUP(D88, '2. Productos'!$A$3:$D$7, 2, FALSE())</f>
        <v>Maní procesado</v>
      </c>
      <c r="F88" t="str">
        <f>VLOOKUP(D88, '2. Productos'!$A$3:$D$7, 3, FALSE())</f>
        <v>Semillas</v>
      </c>
      <c r="G88" t="s">
        <v>24</v>
      </c>
      <c r="H88" t="str">
        <f>VLOOKUP(G88, '3. Mercados'!$A$2:$D$7, 2, FALSE())</f>
        <v>Centroamérica</v>
      </c>
      <c r="I88">
        <f>VLOOKUP(G88, '3. Mercados'!$A$2:$D$7, 3, FALSE())</f>
        <v>0.03</v>
      </c>
      <c r="J88" t="str">
        <f>VLOOKUP(G88, '3. Mercados'!$A$2:$D$7, 4, FALSE())</f>
        <v>Estratégico</v>
      </c>
      <c r="K88">
        <v>780</v>
      </c>
      <c r="L88">
        <v>8.1999999999999993</v>
      </c>
      <c r="M88">
        <v>5.9</v>
      </c>
      <c r="N88">
        <f t="shared" si="14"/>
        <v>6395.9999999999991</v>
      </c>
      <c r="O88">
        <f t="shared" si="15"/>
        <v>4602</v>
      </c>
      <c r="P88">
        <f t="shared" si="16"/>
        <v>1793.9999999999991</v>
      </c>
      <c r="Q88">
        <f t="shared" si="17"/>
        <v>0.2804878048780487</v>
      </c>
      <c r="R88" t="str">
        <f t="shared" si="18"/>
        <v>Media</v>
      </c>
      <c r="S88" t="str">
        <f t="shared" si="19"/>
        <v>Mediana</v>
      </c>
      <c r="T88" t="str">
        <f t="shared" si="20"/>
        <v>Media</v>
      </c>
      <c r="U88" t="s">
        <v>25</v>
      </c>
    </row>
    <row r="89" spans="1:21" x14ac:dyDescent="0.35">
      <c r="A89" t="s">
        <v>126</v>
      </c>
      <c r="B89" s="1">
        <v>46038</v>
      </c>
      <c r="C89" t="s">
        <v>32</v>
      </c>
      <c r="D89" t="s">
        <v>23</v>
      </c>
      <c r="E89" t="str">
        <f>VLOOKUP(D89, '2. Productos'!$A$3:$D$7, 2, FALSE())</f>
        <v>Miel natural</v>
      </c>
      <c r="F89" t="str">
        <f>VLOOKUP(D89, '2. Productos'!$A$3:$D$7, 3, FALSE())</f>
        <v>Apícola</v>
      </c>
      <c r="G89" t="s">
        <v>34</v>
      </c>
      <c r="H89" t="str">
        <f>VLOOKUP(G89, '3. Mercados'!$A$2:$D$7, 2, FALSE())</f>
        <v>Centroamérica</v>
      </c>
      <c r="I89">
        <f>VLOOKUP(G89, '3. Mercados'!$A$2:$D$7, 3, FALSE())</f>
        <v>0.02</v>
      </c>
      <c r="J89" t="str">
        <f>VLOOKUP(G89, '3. Mercados'!$A$2:$D$7, 4, FALSE())</f>
        <v>Estratégico</v>
      </c>
      <c r="K89">
        <v>930</v>
      </c>
      <c r="L89">
        <v>4.8</v>
      </c>
      <c r="M89">
        <v>3.2</v>
      </c>
      <c r="N89">
        <f t="shared" si="14"/>
        <v>4464</v>
      </c>
      <c r="O89">
        <f t="shared" si="15"/>
        <v>2976</v>
      </c>
      <c r="P89">
        <f t="shared" si="16"/>
        <v>1488</v>
      </c>
      <c r="Q89">
        <f t="shared" si="17"/>
        <v>0.33333333333333331</v>
      </c>
      <c r="R89" t="str">
        <f t="shared" si="18"/>
        <v>Alta</v>
      </c>
      <c r="S89" t="str">
        <f t="shared" si="19"/>
        <v>Pequeña</v>
      </c>
      <c r="T89" t="str">
        <f t="shared" si="20"/>
        <v>Alta</v>
      </c>
      <c r="U89" t="s">
        <v>30</v>
      </c>
    </row>
    <row r="90" spans="1:21" x14ac:dyDescent="0.35">
      <c r="A90" t="s">
        <v>127</v>
      </c>
      <c r="B90" s="1">
        <v>46047</v>
      </c>
      <c r="C90" t="s">
        <v>36</v>
      </c>
      <c r="D90" t="s">
        <v>37</v>
      </c>
      <c r="E90" t="str">
        <f>VLOOKUP(D90, '2. Productos'!$A$3:$D$7, 2, FALSE())</f>
        <v>Cacao en grano</v>
      </c>
      <c r="F90" t="str">
        <f>VLOOKUP(D90, '2. Productos'!$A$3:$D$7, 3, FALSE())</f>
        <v>Cacao</v>
      </c>
      <c r="G90" t="s">
        <v>38</v>
      </c>
      <c r="H90" t="str">
        <f>VLOOKUP(G90, '3. Mercados'!$A$2:$D$7, 2, FALSE())</f>
        <v>Europa</v>
      </c>
      <c r="I90">
        <f>VLOOKUP(G90, '3. Mercados'!$A$2:$D$7, 3, FALSE())</f>
        <v>0.1</v>
      </c>
      <c r="J90" t="str">
        <f>VLOOKUP(G90, '3. Mercados'!$A$2:$D$7, 4, FALSE())</f>
        <v>Potencial</v>
      </c>
      <c r="K90">
        <v>870</v>
      </c>
      <c r="L90">
        <v>7.1</v>
      </c>
      <c r="M90">
        <v>4.8</v>
      </c>
      <c r="N90">
        <f t="shared" si="14"/>
        <v>6177</v>
      </c>
      <c r="O90">
        <f t="shared" si="15"/>
        <v>4176</v>
      </c>
      <c r="P90">
        <f t="shared" si="16"/>
        <v>2001</v>
      </c>
      <c r="Q90">
        <f t="shared" si="17"/>
        <v>0.323943661971831</v>
      </c>
      <c r="R90" t="str">
        <f t="shared" si="18"/>
        <v>Alta</v>
      </c>
      <c r="S90" t="str">
        <f t="shared" si="19"/>
        <v>Mediana</v>
      </c>
      <c r="T90" t="str">
        <f t="shared" si="20"/>
        <v>Media</v>
      </c>
      <c r="U90" t="s">
        <v>39</v>
      </c>
    </row>
    <row r="91" spans="1:21" x14ac:dyDescent="0.35">
      <c r="A91" t="s">
        <v>128</v>
      </c>
      <c r="B91" s="1">
        <v>46059</v>
      </c>
      <c r="C91" t="s">
        <v>41</v>
      </c>
      <c r="D91" t="s">
        <v>42</v>
      </c>
      <c r="E91" t="str">
        <f>VLOOKUP(D91, '2. Productos'!$A$3:$D$7, 2, FALSE())</f>
        <v>Aceite de ajonjolí</v>
      </c>
      <c r="F91" t="str">
        <f>VLOOKUP(D91, '2. Productos'!$A$3:$D$7, 3, FALSE())</f>
        <v>Aceites</v>
      </c>
      <c r="G91" t="s">
        <v>43</v>
      </c>
      <c r="H91" t="str">
        <f>VLOOKUP(G91, '3. Mercados'!$A$2:$D$7, 2, FALSE())</f>
        <v>Norteamérica</v>
      </c>
      <c r="I91">
        <f>VLOOKUP(G91, '3. Mercados'!$A$2:$D$7, 3, FALSE())</f>
        <v>0.08</v>
      </c>
      <c r="J91" t="str">
        <f>VLOOKUP(G91, '3. Mercados'!$A$2:$D$7, 4, FALSE())</f>
        <v>Potencial</v>
      </c>
      <c r="K91">
        <v>480</v>
      </c>
      <c r="L91">
        <v>12.5</v>
      </c>
      <c r="M91">
        <v>8.6999999999999993</v>
      </c>
      <c r="N91">
        <f t="shared" si="14"/>
        <v>6000</v>
      </c>
      <c r="O91">
        <f t="shared" si="15"/>
        <v>4176</v>
      </c>
      <c r="P91">
        <f t="shared" si="16"/>
        <v>1824</v>
      </c>
      <c r="Q91">
        <f t="shared" si="17"/>
        <v>0.30399999999999999</v>
      </c>
      <c r="R91" t="str">
        <f t="shared" si="18"/>
        <v>Alta</v>
      </c>
      <c r="S91" t="str">
        <f t="shared" si="19"/>
        <v>Mediana</v>
      </c>
      <c r="T91" t="str">
        <f t="shared" si="20"/>
        <v>Media</v>
      </c>
      <c r="U91" t="s">
        <v>25</v>
      </c>
    </row>
    <row r="92" spans="1:21" x14ac:dyDescent="0.35">
      <c r="A92" t="s">
        <v>129</v>
      </c>
      <c r="B92" s="1">
        <v>46068</v>
      </c>
      <c r="C92" t="s">
        <v>27</v>
      </c>
      <c r="D92" t="s">
        <v>28</v>
      </c>
      <c r="E92" t="str">
        <f>VLOOKUP(D92, '2. Productos'!$A$3:$D$7, 2, FALSE())</f>
        <v>Café especial</v>
      </c>
      <c r="F92" t="str">
        <f>VLOOKUP(D92, '2. Productos'!$A$3:$D$7, 3, FALSE())</f>
        <v>Café</v>
      </c>
      <c r="G92" t="s">
        <v>29</v>
      </c>
      <c r="H92" t="str">
        <f>VLOOKUP(G92, '3. Mercados'!$A$2:$D$7, 2, FALSE())</f>
        <v>Norteamérica</v>
      </c>
      <c r="I92">
        <f>VLOOKUP(G92, '3. Mercados'!$A$2:$D$7, 3, FALSE())</f>
        <v>0.05</v>
      </c>
      <c r="J92" t="str">
        <f>VLOOKUP(G92, '3. Mercados'!$A$2:$D$7, 4, FALSE())</f>
        <v>Estratégico</v>
      </c>
      <c r="K92">
        <v>1260</v>
      </c>
      <c r="L92">
        <v>6.5</v>
      </c>
      <c r="M92">
        <v>4.0999999999999996</v>
      </c>
      <c r="N92">
        <f t="shared" si="14"/>
        <v>8190</v>
      </c>
      <c r="O92">
        <f t="shared" si="15"/>
        <v>5166</v>
      </c>
      <c r="P92">
        <f t="shared" si="16"/>
        <v>3024</v>
      </c>
      <c r="Q92">
        <f t="shared" si="17"/>
        <v>0.36923076923076925</v>
      </c>
      <c r="R92" t="str">
        <f t="shared" si="18"/>
        <v>Alta</v>
      </c>
      <c r="S92" t="str">
        <f t="shared" si="19"/>
        <v>Mediana</v>
      </c>
      <c r="T92" t="str">
        <f t="shared" si="20"/>
        <v>Alta</v>
      </c>
      <c r="U92" t="s">
        <v>30</v>
      </c>
    </row>
    <row r="93" spans="1:21" x14ac:dyDescent="0.35">
      <c r="A93" t="s">
        <v>130</v>
      </c>
      <c r="B93" s="1">
        <v>46077</v>
      </c>
      <c r="C93" t="s">
        <v>22</v>
      </c>
      <c r="D93" t="s">
        <v>23</v>
      </c>
      <c r="E93" t="str">
        <f>VLOOKUP(D93, '2. Productos'!$A$3:$D$7, 2, FALSE())</f>
        <v>Miel natural</v>
      </c>
      <c r="F93" t="str">
        <f>VLOOKUP(D93, '2. Productos'!$A$3:$D$7, 3, FALSE())</f>
        <v>Apícola</v>
      </c>
      <c r="G93" t="s">
        <v>24</v>
      </c>
      <c r="H93" t="str">
        <f>VLOOKUP(G93, '3. Mercados'!$A$2:$D$7, 2, FALSE())</f>
        <v>Centroamérica</v>
      </c>
      <c r="I93">
        <f>VLOOKUP(G93, '3. Mercados'!$A$2:$D$7, 3, FALSE())</f>
        <v>0.03</v>
      </c>
      <c r="J93" t="str">
        <f>VLOOKUP(G93, '3. Mercados'!$A$2:$D$7, 4, FALSE())</f>
        <v>Estratégico</v>
      </c>
      <c r="K93">
        <v>1100</v>
      </c>
      <c r="L93">
        <v>4.8</v>
      </c>
      <c r="M93">
        <v>3.2</v>
      </c>
      <c r="N93">
        <f t="shared" si="14"/>
        <v>5280</v>
      </c>
      <c r="O93">
        <f t="shared" si="15"/>
        <v>3520</v>
      </c>
      <c r="P93">
        <f t="shared" si="16"/>
        <v>1760</v>
      </c>
      <c r="Q93">
        <f t="shared" si="17"/>
        <v>0.33333333333333331</v>
      </c>
      <c r="R93" t="str">
        <f t="shared" si="18"/>
        <v>Alta</v>
      </c>
      <c r="S93" t="str">
        <f t="shared" si="19"/>
        <v>Mediana</v>
      </c>
      <c r="T93" t="str">
        <f t="shared" si="20"/>
        <v>Alta</v>
      </c>
      <c r="U93" t="s">
        <v>25</v>
      </c>
    </row>
    <row r="94" spans="1:21" x14ac:dyDescent="0.35">
      <c r="A94" t="s">
        <v>131</v>
      </c>
      <c r="B94" s="1">
        <v>46086</v>
      </c>
      <c r="C94" t="s">
        <v>32</v>
      </c>
      <c r="D94" t="s">
        <v>42</v>
      </c>
      <c r="E94" t="str">
        <f>VLOOKUP(D94, '2. Productos'!$A$3:$D$7, 2, FALSE())</f>
        <v>Aceite de ajonjolí</v>
      </c>
      <c r="F94" t="str">
        <f>VLOOKUP(D94, '2. Productos'!$A$3:$D$7, 3, FALSE())</f>
        <v>Aceites</v>
      </c>
      <c r="G94" t="s">
        <v>34</v>
      </c>
      <c r="H94" t="str">
        <f>VLOOKUP(G94, '3. Mercados'!$A$2:$D$7, 2, FALSE())</f>
        <v>Centroamérica</v>
      </c>
      <c r="I94">
        <f>VLOOKUP(G94, '3. Mercados'!$A$2:$D$7, 3, FALSE())</f>
        <v>0.02</v>
      </c>
      <c r="J94" t="str">
        <f>VLOOKUP(G94, '3. Mercados'!$A$2:$D$7, 4, FALSE())</f>
        <v>Estratégico</v>
      </c>
      <c r="K94">
        <v>570</v>
      </c>
      <c r="L94">
        <v>12.5</v>
      </c>
      <c r="M94">
        <v>8.6999999999999993</v>
      </c>
      <c r="N94">
        <f t="shared" si="14"/>
        <v>7125</v>
      </c>
      <c r="O94">
        <f t="shared" si="15"/>
        <v>4959</v>
      </c>
      <c r="P94">
        <f t="shared" si="16"/>
        <v>2166</v>
      </c>
      <c r="Q94">
        <f t="shared" si="17"/>
        <v>0.30399999999999999</v>
      </c>
      <c r="R94" t="str">
        <f t="shared" si="18"/>
        <v>Alta</v>
      </c>
      <c r="S94" t="str">
        <f t="shared" si="19"/>
        <v>Mediana</v>
      </c>
      <c r="T94" t="str">
        <f t="shared" si="20"/>
        <v>Alta</v>
      </c>
      <c r="U94" t="s">
        <v>30</v>
      </c>
    </row>
    <row r="95" spans="1:21" x14ac:dyDescent="0.35">
      <c r="A95" t="s">
        <v>132</v>
      </c>
      <c r="B95" s="1">
        <v>46095</v>
      </c>
      <c r="C95" t="s">
        <v>36</v>
      </c>
      <c r="D95" t="s">
        <v>33</v>
      </c>
      <c r="E95" t="str">
        <f>VLOOKUP(D95, '2. Productos'!$A$3:$D$7, 2, FALSE())</f>
        <v>Maní procesado</v>
      </c>
      <c r="F95" t="str">
        <f>VLOOKUP(D95, '2. Productos'!$A$3:$D$7, 3, FALSE())</f>
        <v>Semillas</v>
      </c>
      <c r="G95" t="s">
        <v>38</v>
      </c>
      <c r="H95" t="str">
        <f>VLOOKUP(G95, '3. Mercados'!$A$2:$D$7, 2, FALSE())</f>
        <v>Europa</v>
      </c>
      <c r="I95">
        <f>VLOOKUP(G95, '3. Mercados'!$A$2:$D$7, 3, FALSE())</f>
        <v>0.1</v>
      </c>
      <c r="J95" t="str">
        <f>VLOOKUP(G95, '3. Mercados'!$A$2:$D$7, 4, FALSE())</f>
        <v>Potencial</v>
      </c>
      <c r="K95">
        <v>880</v>
      </c>
      <c r="L95">
        <v>8.1999999999999993</v>
      </c>
      <c r="M95">
        <v>5.9</v>
      </c>
      <c r="N95">
        <f t="shared" si="14"/>
        <v>7215.9999999999991</v>
      </c>
      <c r="O95">
        <f t="shared" si="15"/>
        <v>5192</v>
      </c>
      <c r="P95">
        <f t="shared" si="16"/>
        <v>2023.9999999999991</v>
      </c>
      <c r="Q95">
        <f t="shared" si="17"/>
        <v>0.2804878048780487</v>
      </c>
      <c r="R95" t="str">
        <f t="shared" si="18"/>
        <v>Media</v>
      </c>
      <c r="S95" t="str">
        <f t="shared" si="19"/>
        <v>Mediana</v>
      </c>
      <c r="T95" t="str">
        <f t="shared" si="20"/>
        <v>Baja</v>
      </c>
      <c r="U95" t="s">
        <v>25</v>
      </c>
    </row>
    <row r="96" spans="1:21" x14ac:dyDescent="0.35">
      <c r="A96" t="s">
        <v>133</v>
      </c>
      <c r="B96" s="1">
        <v>46104</v>
      </c>
      <c r="C96" t="s">
        <v>41</v>
      </c>
      <c r="D96" t="s">
        <v>37</v>
      </c>
      <c r="E96" t="str">
        <f>VLOOKUP(D96, '2. Productos'!$A$3:$D$7, 2, FALSE())</f>
        <v>Cacao en grano</v>
      </c>
      <c r="F96" t="str">
        <f>VLOOKUP(D96, '2. Productos'!$A$3:$D$7, 3, FALSE())</f>
        <v>Cacao</v>
      </c>
      <c r="G96" t="s">
        <v>43</v>
      </c>
      <c r="H96" t="str">
        <f>VLOOKUP(G96, '3. Mercados'!$A$2:$D$7, 2, FALSE())</f>
        <v>Norteamérica</v>
      </c>
      <c r="I96">
        <f>VLOOKUP(G96, '3. Mercados'!$A$2:$D$7, 3, FALSE())</f>
        <v>0.08</v>
      </c>
      <c r="J96" t="str">
        <f>VLOOKUP(G96, '3. Mercados'!$A$2:$D$7, 4, FALSE())</f>
        <v>Potencial</v>
      </c>
      <c r="K96">
        <v>1060</v>
      </c>
      <c r="L96">
        <v>7.1</v>
      </c>
      <c r="M96">
        <v>4.8</v>
      </c>
      <c r="N96">
        <f t="shared" si="14"/>
        <v>7526</v>
      </c>
      <c r="O96">
        <f t="shared" si="15"/>
        <v>5088</v>
      </c>
      <c r="P96">
        <f t="shared" si="16"/>
        <v>2438</v>
      </c>
      <c r="Q96">
        <f t="shared" si="17"/>
        <v>0.323943661971831</v>
      </c>
      <c r="R96" t="str">
        <f t="shared" si="18"/>
        <v>Alta</v>
      </c>
      <c r="S96" t="str">
        <f t="shared" si="19"/>
        <v>Mediana</v>
      </c>
      <c r="T96" t="str">
        <f t="shared" si="20"/>
        <v>Media</v>
      </c>
      <c r="U96" t="s">
        <v>30</v>
      </c>
    </row>
    <row r="97" spans="1:21" x14ac:dyDescent="0.35">
      <c r="A97" t="s">
        <v>134</v>
      </c>
      <c r="B97" s="1">
        <v>46114</v>
      </c>
      <c r="C97" t="s">
        <v>27</v>
      </c>
      <c r="D97" t="s">
        <v>23</v>
      </c>
      <c r="E97" t="str">
        <f>VLOOKUP(D97, '2. Productos'!$A$3:$D$7, 2, FALSE())</f>
        <v>Miel natural</v>
      </c>
      <c r="F97" t="str">
        <f>VLOOKUP(D97, '2. Productos'!$A$3:$D$7, 3, FALSE())</f>
        <v>Apícola</v>
      </c>
      <c r="G97" t="s">
        <v>29</v>
      </c>
      <c r="H97" t="str">
        <f>VLOOKUP(G97, '3. Mercados'!$A$2:$D$7, 2, FALSE())</f>
        <v>Norteamérica</v>
      </c>
      <c r="I97">
        <f>VLOOKUP(G97, '3. Mercados'!$A$2:$D$7, 3, FALSE())</f>
        <v>0.05</v>
      </c>
      <c r="J97" t="str">
        <f>VLOOKUP(G97, '3. Mercados'!$A$2:$D$7, 4, FALSE())</f>
        <v>Estratégico</v>
      </c>
      <c r="K97">
        <v>1490</v>
      </c>
      <c r="L97">
        <v>4.8</v>
      </c>
      <c r="M97">
        <v>3.2</v>
      </c>
      <c r="N97">
        <f t="shared" si="14"/>
        <v>7152</v>
      </c>
      <c r="O97">
        <f t="shared" si="15"/>
        <v>4768</v>
      </c>
      <c r="P97">
        <f t="shared" si="16"/>
        <v>2384</v>
      </c>
      <c r="Q97">
        <f t="shared" si="17"/>
        <v>0.33333333333333331</v>
      </c>
      <c r="R97" t="str">
        <f t="shared" si="18"/>
        <v>Alta</v>
      </c>
      <c r="S97" t="str">
        <f t="shared" si="19"/>
        <v>Mediana</v>
      </c>
      <c r="T97" t="str">
        <f t="shared" si="20"/>
        <v>Alta</v>
      </c>
      <c r="U97" t="s">
        <v>39</v>
      </c>
    </row>
    <row r="98" spans="1:21" x14ac:dyDescent="0.35">
      <c r="A98" t="s">
        <v>135</v>
      </c>
      <c r="B98" s="1">
        <v>46123</v>
      </c>
      <c r="C98" t="s">
        <v>22</v>
      </c>
      <c r="D98" t="s">
        <v>28</v>
      </c>
      <c r="E98" t="str">
        <f>VLOOKUP(D98, '2. Productos'!$A$3:$D$7, 2, FALSE())</f>
        <v>Café especial</v>
      </c>
      <c r="F98" t="str">
        <f>VLOOKUP(D98, '2. Productos'!$A$3:$D$7, 3, FALSE())</f>
        <v>Café</v>
      </c>
      <c r="G98" t="s">
        <v>24</v>
      </c>
      <c r="H98" t="str">
        <f>VLOOKUP(G98, '3. Mercados'!$A$2:$D$7, 2, FALSE())</f>
        <v>Centroamérica</v>
      </c>
      <c r="I98">
        <f>VLOOKUP(G98, '3. Mercados'!$A$2:$D$7, 3, FALSE())</f>
        <v>0.03</v>
      </c>
      <c r="J98" t="str">
        <f>VLOOKUP(G98, '3. Mercados'!$A$2:$D$7, 4, FALSE())</f>
        <v>Estratégico</v>
      </c>
      <c r="K98">
        <v>910</v>
      </c>
      <c r="L98">
        <v>6.5</v>
      </c>
      <c r="M98">
        <v>4.0999999999999996</v>
      </c>
      <c r="N98">
        <f t="shared" si="14"/>
        <v>5915</v>
      </c>
      <c r="O98">
        <f t="shared" si="15"/>
        <v>3730.9999999999995</v>
      </c>
      <c r="P98">
        <f t="shared" ref="P98:P129" si="21">N98-O98</f>
        <v>2184.0000000000005</v>
      </c>
      <c r="Q98">
        <f t="shared" ref="Q98:Q129" si="22">P98/N98</f>
        <v>0.36923076923076931</v>
      </c>
      <c r="R98" t="str">
        <f t="shared" ref="R98:R129" si="23">IF(Q98&gt;=0.3, "Alta", IF(Q98&gt;=0.15, "Media", "Baja"))</f>
        <v>Alta</v>
      </c>
      <c r="S98" t="str">
        <f t="shared" si="19"/>
        <v>Mediana</v>
      </c>
      <c r="T98" t="str">
        <f t="shared" si="20"/>
        <v>Alta</v>
      </c>
      <c r="U98" t="s">
        <v>25</v>
      </c>
    </row>
    <row r="99" spans="1:21" x14ac:dyDescent="0.35">
      <c r="A99" t="s">
        <v>136</v>
      </c>
      <c r="B99" s="1">
        <v>46132</v>
      </c>
      <c r="C99" t="s">
        <v>32</v>
      </c>
      <c r="D99" t="s">
        <v>33</v>
      </c>
      <c r="E99" t="str">
        <f>VLOOKUP(D99, '2. Productos'!$A$3:$D$7, 2, FALSE())</f>
        <v>Maní procesado</v>
      </c>
      <c r="F99" t="str">
        <f>VLOOKUP(D99, '2. Productos'!$A$3:$D$7, 3, FALSE())</f>
        <v>Semillas</v>
      </c>
      <c r="G99" t="s">
        <v>34</v>
      </c>
      <c r="H99" t="str">
        <f>VLOOKUP(G99, '3. Mercados'!$A$2:$D$7, 2, FALSE())</f>
        <v>Centroamérica</v>
      </c>
      <c r="I99">
        <f>VLOOKUP(G99, '3. Mercados'!$A$2:$D$7, 3, FALSE())</f>
        <v>0.02</v>
      </c>
      <c r="J99" t="str">
        <f>VLOOKUP(G99, '3. Mercados'!$A$2:$D$7, 4, FALSE())</f>
        <v>Estratégico</v>
      </c>
      <c r="K99">
        <v>740</v>
      </c>
      <c r="L99">
        <v>8.1999999999999993</v>
      </c>
      <c r="M99">
        <v>5.9</v>
      </c>
      <c r="N99">
        <f t="shared" si="14"/>
        <v>6067.9999999999991</v>
      </c>
      <c r="O99">
        <f t="shared" si="15"/>
        <v>4366</v>
      </c>
      <c r="P99">
        <f t="shared" si="21"/>
        <v>1701.9999999999991</v>
      </c>
      <c r="Q99">
        <f t="shared" si="22"/>
        <v>0.2804878048780487</v>
      </c>
      <c r="R99" t="str">
        <f t="shared" si="23"/>
        <v>Media</v>
      </c>
      <c r="S99" t="str">
        <f t="shared" si="19"/>
        <v>Mediana</v>
      </c>
      <c r="T99" t="str">
        <f t="shared" si="20"/>
        <v>Media</v>
      </c>
      <c r="U99" t="s">
        <v>30</v>
      </c>
    </row>
    <row r="100" spans="1:21" x14ac:dyDescent="0.35">
      <c r="A100" t="s">
        <v>137</v>
      </c>
      <c r="B100" s="1">
        <v>46141</v>
      </c>
      <c r="C100" t="s">
        <v>36</v>
      </c>
      <c r="D100" t="s">
        <v>42</v>
      </c>
      <c r="E100" t="str">
        <f>VLOOKUP(D100, '2. Productos'!$A$3:$D$7, 2, FALSE())</f>
        <v>Aceite de ajonjolí</v>
      </c>
      <c r="F100" t="str">
        <f>VLOOKUP(D100, '2. Productos'!$A$3:$D$7, 3, FALSE())</f>
        <v>Aceites</v>
      </c>
      <c r="G100" t="s">
        <v>38</v>
      </c>
      <c r="H100" t="str">
        <f>VLOOKUP(G100, '3. Mercados'!$A$2:$D$7, 2, FALSE())</f>
        <v>Europa</v>
      </c>
      <c r="I100">
        <f>VLOOKUP(G100, '3. Mercados'!$A$2:$D$7, 3, FALSE())</f>
        <v>0.1</v>
      </c>
      <c r="J100" t="str">
        <f>VLOOKUP(G100, '3. Mercados'!$A$2:$D$7, 4, FALSE())</f>
        <v>Potencial</v>
      </c>
      <c r="K100">
        <v>630</v>
      </c>
      <c r="L100">
        <v>12.5</v>
      </c>
      <c r="M100">
        <v>8.6999999999999993</v>
      </c>
      <c r="N100">
        <f t="shared" si="14"/>
        <v>7875</v>
      </c>
      <c r="O100">
        <f t="shared" si="15"/>
        <v>5481</v>
      </c>
      <c r="P100">
        <f t="shared" si="21"/>
        <v>2394</v>
      </c>
      <c r="Q100">
        <f t="shared" si="22"/>
        <v>0.30399999999999999</v>
      </c>
      <c r="R100" t="str">
        <f t="shared" si="23"/>
        <v>Alta</v>
      </c>
      <c r="S100" t="str">
        <f t="shared" si="19"/>
        <v>Mediana</v>
      </c>
      <c r="T100" t="str">
        <f t="shared" si="20"/>
        <v>Media</v>
      </c>
      <c r="U100" t="s">
        <v>25</v>
      </c>
    </row>
    <row r="101" spans="1:21" x14ac:dyDescent="0.35">
      <c r="A101" t="s">
        <v>138</v>
      </c>
      <c r="B101" s="1">
        <v>46150</v>
      </c>
      <c r="C101" t="s">
        <v>41</v>
      </c>
      <c r="D101" t="s">
        <v>28</v>
      </c>
      <c r="E101" t="str">
        <f>VLOOKUP(D101, '2. Productos'!$A$3:$D$7, 2, FALSE())</f>
        <v>Café especial</v>
      </c>
      <c r="F101" t="str">
        <f>VLOOKUP(D101, '2. Productos'!$A$3:$D$7, 3, FALSE())</f>
        <v>Café</v>
      </c>
      <c r="G101" t="s">
        <v>43</v>
      </c>
      <c r="H101" t="str">
        <f>VLOOKUP(G101, '3. Mercados'!$A$2:$D$7, 2, FALSE())</f>
        <v>Norteamérica</v>
      </c>
      <c r="I101">
        <f>VLOOKUP(G101, '3. Mercados'!$A$2:$D$7, 3, FALSE())</f>
        <v>0.08</v>
      </c>
      <c r="J101" t="str">
        <f>VLOOKUP(G101, '3. Mercados'!$A$2:$D$7, 4, FALSE())</f>
        <v>Potencial</v>
      </c>
      <c r="K101">
        <v>1170</v>
      </c>
      <c r="L101">
        <v>6.5</v>
      </c>
      <c r="M101">
        <v>4.0999999999999996</v>
      </c>
      <c r="N101">
        <f t="shared" si="14"/>
        <v>7605</v>
      </c>
      <c r="O101">
        <f t="shared" si="15"/>
        <v>4797</v>
      </c>
      <c r="P101">
        <f t="shared" si="21"/>
        <v>2808</v>
      </c>
      <c r="Q101">
        <f t="shared" si="22"/>
        <v>0.36923076923076925</v>
      </c>
      <c r="R101" t="str">
        <f t="shared" si="23"/>
        <v>Alta</v>
      </c>
      <c r="S101" t="str">
        <f t="shared" si="19"/>
        <v>Mediana</v>
      </c>
      <c r="T101" t="str">
        <f t="shared" si="20"/>
        <v>Media</v>
      </c>
      <c r="U101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zoomScaleNormal="100" workbookViewId="0">
      <selection sqref="A1:D7"/>
    </sheetView>
  </sheetViews>
  <sheetFormatPr baseColWidth="10" defaultColWidth="8.6328125" defaultRowHeight="14.5" x14ac:dyDescent="0.35"/>
  <cols>
    <col min="1" max="1" width="11.26953125" customWidth="1"/>
    <col min="2" max="2" width="16.26953125" customWidth="1"/>
    <col min="3" max="3" width="11.26953125" customWidth="1"/>
    <col min="4" max="4" width="16" customWidth="1"/>
  </cols>
  <sheetData>
    <row r="1" spans="1:4" x14ac:dyDescent="0.35">
      <c r="A1" t="s">
        <v>204</v>
      </c>
      <c r="B1" t="s">
        <v>205</v>
      </c>
      <c r="C1" t="s">
        <v>206</v>
      </c>
      <c r="D1" t="s">
        <v>207</v>
      </c>
    </row>
    <row r="2" spans="1:4" x14ac:dyDescent="0.35">
      <c r="A2" t="s">
        <v>139</v>
      </c>
      <c r="B2" t="s">
        <v>4</v>
      </c>
      <c r="C2" t="s">
        <v>5</v>
      </c>
      <c r="D2" t="s">
        <v>140</v>
      </c>
    </row>
    <row r="3" spans="1:4" x14ac:dyDescent="0.35">
      <c r="A3" t="s">
        <v>28</v>
      </c>
      <c r="B3" t="s">
        <v>141</v>
      </c>
      <c r="C3" t="s">
        <v>142</v>
      </c>
      <c r="D3" t="s">
        <v>143</v>
      </c>
    </row>
    <row r="4" spans="1:4" x14ac:dyDescent="0.35">
      <c r="A4" t="s">
        <v>37</v>
      </c>
      <c r="B4" t="s">
        <v>144</v>
      </c>
      <c r="C4" t="s">
        <v>145</v>
      </c>
      <c r="D4" t="s">
        <v>143</v>
      </c>
    </row>
    <row r="5" spans="1:4" x14ac:dyDescent="0.35">
      <c r="A5" t="s">
        <v>23</v>
      </c>
      <c r="B5" t="s">
        <v>146</v>
      </c>
      <c r="C5" t="s">
        <v>147</v>
      </c>
      <c r="D5" t="s">
        <v>143</v>
      </c>
    </row>
    <row r="6" spans="1:4" x14ac:dyDescent="0.35">
      <c r="A6" t="s">
        <v>33</v>
      </c>
      <c r="B6" t="s">
        <v>148</v>
      </c>
      <c r="C6" t="s">
        <v>149</v>
      </c>
      <c r="D6" t="s">
        <v>143</v>
      </c>
    </row>
    <row r="7" spans="1:4" x14ac:dyDescent="0.35">
      <c r="A7" t="s">
        <v>42</v>
      </c>
      <c r="B7" t="s">
        <v>150</v>
      </c>
      <c r="C7" t="s">
        <v>151</v>
      </c>
      <c r="D7" t="s">
        <v>152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zoomScaleNormal="100" workbookViewId="0">
      <selection sqref="A1:D7"/>
    </sheetView>
  </sheetViews>
  <sheetFormatPr baseColWidth="10" defaultColWidth="8.6328125" defaultRowHeight="14.5" x14ac:dyDescent="0.35"/>
  <cols>
    <col min="1" max="1" width="12.7265625" customWidth="1"/>
    <col min="2" max="2" width="13.08984375" customWidth="1"/>
    <col min="3" max="3" width="11" customWidth="1"/>
    <col min="4" max="4" width="13" customWidth="1"/>
  </cols>
  <sheetData>
    <row r="1" spans="1:4" x14ac:dyDescent="0.35">
      <c r="A1" t="s">
        <v>153</v>
      </c>
      <c r="B1" t="s">
        <v>7</v>
      </c>
      <c r="C1" t="s">
        <v>8</v>
      </c>
      <c r="D1" t="s">
        <v>9</v>
      </c>
    </row>
    <row r="2" spans="1:4" x14ac:dyDescent="0.35">
      <c r="A2" t="s">
        <v>29</v>
      </c>
      <c r="B2" t="s">
        <v>154</v>
      </c>
      <c r="C2">
        <v>0.05</v>
      </c>
      <c r="D2" t="s">
        <v>155</v>
      </c>
    </row>
    <row r="3" spans="1:4" x14ac:dyDescent="0.35">
      <c r="A3" t="s">
        <v>43</v>
      </c>
      <c r="B3" t="s">
        <v>154</v>
      </c>
      <c r="C3">
        <v>0.08</v>
      </c>
      <c r="D3" t="s">
        <v>156</v>
      </c>
    </row>
    <row r="4" spans="1:4" x14ac:dyDescent="0.35">
      <c r="A4" t="s">
        <v>24</v>
      </c>
      <c r="B4" t="s">
        <v>157</v>
      </c>
      <c r="C4">
        <v>0.03</v>
      </c>
      <c r="D4" t="s">
        <v>155</v>
      </c>
    </row>
    <row r="5" spans="1:4" x14ac:dyDescent="0.35">
      <c r="A5" t="s">
        <v>34</v>
      </c>
      <c r="B5" t="s">
        <v>157</v>
      </c>
      <c r="C5">
        <v>0.02</v>
      </c>
      <c r="D5" t="s">
        <v>155</v>
      </c>
    </row>
    <row r="6" spans="1:4" x14ac:dyDescent="0.35">
      <c r="A6" t="s">
        <v>158</v>
      </c>
      <c r="B6" t="s">
        <v>157</v>
      </c>
      <c r="C6">
        <v>0.02</v>
      </c>
      <c r="D6" t="s">
        <v>156</v>
      </c>
    </row>
    <row r="7" spans="1:4" x14ac:dyDescent="0.35">
      <c r="A7" t="s">
        <v>38</v>
      </c>
      <c r="B7" t="s">
        <v>159</v>
      </c>
      <c r="C7">
        <v>0.1</v>
      </c>
      <c r="D7" t="s">
        <v>156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"/>
  <sheetViews>
    <sheetView zoomScaleNormal="100" workbookViewId="0"/>
  </sheetViews>
  <sheetFormatPr baseColWidth="10" defaultColWidth="8.6328125" defaultRowHeight="14.5" x14ac:dyDescent="0.35"/>
  <cols>
    <col min="1" max="1" width="5.08984375" customWidth="1"/>
    <col min="2" max="2" width="55.6328125" customWidth="1"/>
    <col min="3" max="3" width="46.453125" customWidth="1"/>
    <col min="4" max="4" width="12.1796875" customWidth="1"/>
  </cols>
  <sheetData>
    <row r="1" spans="1:3" x14ac:dyDescent="0.35">
      <c r="A1" t="s">
        <v>171</v>
      </c>
      <c r="B1" t="s">
        <v>172</v>
      </c>
      <c r="C1" t="s">
        <v>173</v>
      </c>
    </row>
    <row r="2" spans="1:3" x14ac:dyDescent="0.35">
      <c r="A2">
        <v>1</v>
      </c>
      <c r="B2" t="s">
        <v>174</v>
      </c>
      <c r="C2" s="2">
        <f>COUNTA('1. Operaciones'!A2:A101)</f>
        <v>100</v>
      </c>
    </row>
    <row r="3" spans="1:3" x14ac:dyDescent="0.35">
      <c r="A3">
        <v>2</v>
      </c>
      <c r="B3" t="s">
        <v>175</v>
      </c>
      <c r="C3" s="2">
        <f>COUNTIF('1. Operaciones'!U2:U101, "Pendiente")</f>
        <v>15</v>
      </c>
    </row>
    <row r="4" spans="1:3" x14ac:dyDescent="0.35">
      <c r="A4">
        <v>3</v>
      </c>
      <c r="B4" t="s">
        <v>176</v>
      </c>
      <c r="C4" s="2" t="s">
        <v>177</v>
      </c>
    </row>
    <row r="5" spans="1:3" x14ac:dyDescent="0.35">
      <c r="A5">
        <v>4</v>
      </c>
      <c r="B5" t="s">
        <v>178</v>
      </c>
      <c r="C5" s="2" t="s">
        <v>179</v>
      </c>
    </row>
    <row r="6" spans="1:3" x14ac:dyDescent="0.35">
      <c r="A6" s="3">
        <v>5</v>
      </c>
      <c r="B6" t="s">
        <v>180</v>
      </c>
      <c r="C6" s="2" t="s">
        <v>181</v>
      </c>
    </row>
    <row r="7" spans="1:3" x14ac:dyDescent="0.35">
      <c r="A7">
        <v>6</v>
      </c>
      <c r="B7" t="s">
        <v>182</v>
      </c>
      <c r="C7" s="2" t="s">
        <v>183</v>
      </c>
    </row>
    <row r="8" spans="1:3" x14ac:dyDescent="0.35">
      <c r="A8">
        <v>7</v>
      </c>
      <c r="B8" t="s">
        <v>184</v>
      </c>
      <c r="C8" s="2" t="s">
        <v>185</v>
      </c>
    </row>
    <row r="9" spans="1:3" x14ac:dyDescent="0.35">
      <c r="A9">
        <v>8</v>
      </c>
      <c r="B9" t="s">
        <v>186</v>
      </c>
      <c r="C9" s="2">
        <f>COUNTIF('1. Operaciones'!R2:R101, "Alta")</f>
        <v>82</v>
      </c>
    </row>
    <row r="10" spans="1:3" x14ac:dyDescent="0.35">
      <c r="A10">
        <v>9</v>
      </c>
      <c r="B10" t="s">
        <v>187</v>
      </c>
      <c r="C10" s="2">
        <f>SUMIF('1. Operaciones'!H2:H101, "Centroamérica", '1. Operaciones'!N2:N101)</f>
        <v>232879</v>
      </c>
    </row>
    <row r="11" spans="1:3" x14ac:dyDescent="0.35">
      <c r="A11">
        <v>10</v>
      </c>
      <c r="B11" t="s">
        <v>188</v>
      </c>
      <c r="C11" s="2">
        <f>SUMIF('1. Operaciones'!H2:H101, "Norteamérica", '1. Operaciones'!N2:N101)</f>
        <v>289058</v>
      </c>
    </row>
    <row r="12" spans="1:3" x14ac:dyDescent="0.35">
      <c r="A12">
        <v>11</v>
      </c>
      <c r="B12" t="s">
        <v>189</v>
      </c>
      <c r="C12" s="2">
        <f>SUMIF('1. Operaciones'!H2:H101, "Europa", '1. Operaciones'!N2:N101)</f>
        <v>136328</v>
      </c>
    </row>
    <row r="13" spans="1:3" x14ac:dyDescent="0.35">
      <c r="A13">
        <v>12</v>
      </c>
      <c r="B13" t="s">
        <v>190</v>
      </c>
      <c r="C13" s="2" t="s">
        <v>191</v>
      </c>
    </row>
    <row r="14" spans="1:3" x14ac:dyDescent="0.35">
      <c r="A14">
        <v>13</v>
      </c>
      <c r="B14" t="s">
        <v>192</v>
      </c>
      <c r="C14" s="2" t="s">
        <v>193</v>
      </c>
    </row>
    <row r="15" spans="1:3" x14ac:dyDescent="0.35">
      <c r="A15">
        <v>14</v>
      </c>
      <c r="B15" t="s">
        <v>194</v>
      </c>
      <c r="C15" s="2" t="s">
        <v>195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zoomScaleNormal="100" workbookViewId="0">
      <selection activeCell="C11" sqref="C11"/>
    </sheetView>
  </sheetViews>
  <sheetFormatPr baseColWidth="10" defaultColWidth="8.6328125" defaultRowHeight="14.5" x14ac:dyDescent="0.35"/>
  <cols>
    <col min="1" max="1" width="52.81640625" customWidth="1"/>
    <col min="2" max="2" width="20.1796875" customWidth="1"/>
    <col min="3" max="3" width="12.81640625" customWidth="1"/>
  </cols>
  <sheetData>
    <row r="1" spans="1:2" x14ac:dyDescent="0.35">
      <c r="A1" t="s">
        <v>160</v>
      </c>
      <c r="B1" t="s">
        <v>204</v>
      </c>
    </row>
    <row r="2" spans="1:2" x14ac:dyDescent="0.35">
      <c r="A2" t="s">
        <v>6</v>
      </c>
      <c r="B2" t="s">
        <v>161</v>
      </c>
    </row>
    <row r="3" spans="1:2" x14ac:dyDescent="0.35">
      <c r="A3" t="s">
        <v>34</v>
      </c>
      <c r="B3">
        <f>SUMIF('1. Operaciones'!$G$2:$G$101, A3, '1. Operaciones'!$N$2:$N$101)</f>
        <v>113544</v>
      </c>
    </row>
    <row r="4" spans="1:2" x14ac:dyDescent="0.35">
      <c r="A4" t="s">
        <v>29</v>
      </c>
      <c r="B4">
        <f>SUMIF('1. Operaciones'!$G$2:$G$101, A4, '1. Operaciones'!$N$2:$N$101)</f>
        <v>168745</v>
      </c>
    </row>
    <row r="5" spans="1:2" x14ac:dyDescent="0.35">
      <c r="A5" t="s">
        <v>38</v>
      </c>
      <c r="B5">
        <f>SUMIF('1. Operaciones'!$G$2:$G$101, A5, '1. Operaciones'!$N$2:$N$101)</f>
        <v>136328</v>
      </c>
    </row>
    <row r="6" spans="1:2" x14ac:dyDescent="0.35">
      <c r="A6" t="s">
        <v>24</v>
      </c>
      <c r="B6">
        <f>SUMIF('1. Operaciones'!$G$2:$G$101, A6, '1. Operaciones'!$N$2:$N$101)</f>
        <v>119335</v>
      </c>
    </row>
    <row r="7" spans="1:2" x14ac:dyDescent="0.35">
      <c r="A7" t="s">
        <v>43</v>
      </c>
      <c r="B7">
        <f>SUMIF('1. Operaciones'!$G$2:$G$101, A7, '1. Operaciones'!$N$2:$N$101)</f>
        <v>120313</v>
      </c>
    </row>
    <row r="9" spans="1:2" x14ac:dyDescent="0.35">
      <c r="A9" t="s">
        <v>162</v>
      </c>
      <c r="B9" t="s">
        <v>204</v>
      </c>
    </row>
    <row r="10" spans="1:2" x14ac:dyDescent="0.35">
      <c r="A10" t="s">
        <v>4</v>
      </c>
      <c r="B10" t="s">
        <v>163</v>
      </c>
    </row>
    <row r="11" spans="1:2" x14ac:dyDescent="0.35">
      <c r="A11" t="s">
        <v>150</v>
      </c>
      <c r="B11">
        <f>SUMIF('1. Operaciones'!$E$2:$E$101, A11, '1. Operaciones'!$P$2:$P$101)</f>
        <v>42218</v>
      </c>
    </row>
    <row r="12" spans="1:2" x14ac:dyDescent="0.35">
      <c r="A12" t="s">
        <v>144</v>
      </c>
      <c r="B12">
        <f>SUMIF('1. Operaciones'!$E$2:$E$101, A12, '1. Operaciones'!$P$2:$P$101)</f>
        <v>36800</v>
      </c>
    </row>
    <row r="13" spans="1:2" x14ac:dyDescent="0.35">
      <c r="A13" t="s">
        <v>141</v>
      </c>
      <c r="B13">
        <f>SUMIF('1. Operaciones'!$E$2:$E$101, A13, '1. Operaciones'!$P$2:$P$101)</f>
        <v>62832</v>
      </c>
    </row>
    <row r="14" spans="1:2" x14ac:dyDescent="0.35">
      <c r="A14" t="s">
        <v>148</v>
      </c>
      <c r="B14">
        <f>SUMIF('1. Operaciones'!$E$2:$E$101, A14, '1. Operaciones'!$P$2:$P$101)</f>
        <v>33533.999999999993</v>
      </c>
    </row>
    <row r="15" spans="1:2" x14ac:dyDescent="0.35">
      <c r="A15" t="s">
        <v>146</v>
      </c>
      <c r="B15">
        <f>SUMIF('1. Operaciones'!$E$2:$E$101, A15, '1. Operaciones'!$P$2:$P$101)</f>
        <v>38688</v>
      </c>
    </row>
    <row r="17" spans="1:2" x14ac:dyDescent="0.35">
      <c r="A17" t="s">
        <v>164</v>
      </c>
      <c r="B17" t="s">
        <v>204</v>
      </c>
    </row>
    <row r="18" spans="1:2" x14ac:dyDescent="0.35">
      <c r="A18" t="s">
        <v>7</v>
      </c>
      <c r="B18" t="s">
        <v>161</v>
      </c>
    </row>
    <row r="19" spans="1:2" x14ac:dyDescent="0.35">
      <c r="A19" t="s">
        <v>157</v>
      </c>
      <c r="B19">
        <f>SUMIF('1. Operaciones'!$H$2:$H$101, A19, '1. Operaciones'!$N$2:$N$101)</f>
        <v>232879</v>
      </c>
    </row>
    <row r="20" spans="1:2" x14ac:dyDescent="0.35">
      <c r="A20" t="s">
        <v>159</v>
      </c>
      <c r="B20">
        <f>SUMIF('1. Operaciones'!$H$2:$H$101, A20, '1. Operaciones'!$N$2:$N$101)</f>
        <v>136328</v>
      </c>
    </row>
    <row r="21" spans="1:2" x14ac:dyDescent="0.35">
      <c r="A21" t="s">
        <v>154</v>
      </c>
      <c r="B21">
        <f>SUMIF('1. Operaciones'!$H$2:$H$101, A21, '1. Operaciones'!$N$2:$N$101)</f>
        <v>289058</v>
      </c>
    </row>
    <row r="23" spans="1:2" x14ac:dyDescent="0.35">
      <c r="A23" t="s">
        <v>165</v>
      </c>
      <c r="B23" t="s">
        <v>204</v>
      </c>
    </row>
    <row r="24" spans="1:2" x14ac:dyDescent="0.35">
      <c r="A24" t="s">
        <v>166</v>
      </c>
      <c r="B24" t="s">
        <v>167</v>
      </c>
    </row>
    <row r="25" spans="1:2" x14ac:dyDescent="0.35">
      <c r="A25" t="s">
        <v>168</v>
      </c>
      <c r="B25">
        <f>COUNTIF('1. Operaciones'!$T$2:$T$101, A25)</f>
        <v>48</v>
      </c>
    </row>
    <row r="26" spans="1:2" x14ac:dyDescent="0.35">
      <c r="A26" t="s">
        <v>169</v>
      </c>
      <c r="B26">
        <f>COUNTIF('1. Operaciones'!$T$2:$T$101, A26)</f>
        <v>6</v>
      </c>
    </row>
    <row r="27" spans="1:2" x14ac:dyDescent="0.35">
      <c r="A27" t="s">
        <v>170</v>
      </c>
      <c r="B27">
        <f>COUNTIF('1. Operaciones'!$T$2:$T$101, A27)</f>
        <v>46</v>
      </c>
    </row>
  </sheetData>
  <pageMargins left="0.75" right="0.75" top="1" bottom="1" header="0.511811023622047" footer="0.511811023622047"/>
  <pageSetup paperSize="9" orientation="portrait" horizontalDpi="300" verticalDpi="300"/>
  <drawing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tabSelected="1" zoomScaleNormal="100" workbookViewId="0">
      <selection activeCell="C1" sqref="C1"/>
    </sheetView>
  </sheetViews>
  <sheetFormatPr baseColWidth="10" defaultColWidth="8.6328125" defaultRowHeight="14.5" x14ac:dyDescent="0.35"/>
  <cols>
    <col min="1" max="1" width="22" customWidth="1"/>
    <col min="2" max="2" width="255.54296875" customWidth="1"/>
    <col min="3" max="3" width="68.36328125" customWidth="1"/>
  </cols>
  <sheetData>
    <row r="1" spans="1:3" x14ac:dyDescent="0.35">
      <c r="A1" t="s">
        <v>196</v>
      </c>
      <c r="B1" t="s">
        <v>197</v>
      </c>
      <c r="C1" t="s">
        <v>197</v>
      </c>
    </row>
    <row r="2" spans="1:3" x14ac:dyDescent="0.35">
      <c r="A2" t="s">
        <v>198</v>
      </c>
      <c r="B2" t="s">
        <v>199</v>
      </c>
    </row>
    <row r="3" spans="1:3" x14ac:dyDescent="0.35">
      <c r="A3" t="s">
        <v>200</v>
      </c>
      <c r="B3" t="s">
        <v>201</v>
      </c>
    </row>
    <row r="4" spans="1:3" x14ac:dyDescent="0.35">
      <c r="A4" t="s">
        <v>202</v>
      </c>
      <c r="B4" t="s">
        <v>203</v>
      </c>
    </row>
  </sheetData>
  <pageMargins left="0.75" right="0.75" top="1" bottom="1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1. Operaciones</vt:lpstr>
      <vt:lpstr>2. Productos</vt:lpstr>
      <vt:lpstr>3. Mercados</vt:lpstr>
      <vt:lpstr> Respuestas</vt:lpstr>
      <vt:lpstr> Tablas y Gráficos</vt:lpstr>
      <vt:lpstr> Interpretaciones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natalyflores0902@gmail.com</cp:lastModifiedBy>
  <cp:revision>1</cp:revision>
  <dcterms:created xsi:type="dcterms:W3CDTF">2026-09-10T00:45:51Z</dcterms:created>
  <dcterms:modified xsi:type="dcterms:W3CDTF">2026-09-10T01:30:01Z</dcterms:modified>
  <dc:language>en-US</dc:language>
</cp:coreProperties>
</file>